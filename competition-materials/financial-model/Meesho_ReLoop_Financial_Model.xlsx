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6815f814dc4111" /></Relationships>
</file>

<file path=xl/workbook.xml><?xml version="1.0" encoding="utf-8"?>
<x:workbook xmlns:x="http://schemas.openxmlformats.org/spreadsheetml/2006/main">
  <x:sheets>
    <x:sheet xmlns:r="http://schemas.openxmlformats.org/officeDocument/2006/relationships" name="Dashboard" sheetId="1" r:id="Re7dd1b01bae447fc"/>
    <x:sheet xmlns:r="http://schemas.openxmlformats.org/officeDocument/2006/relationships" name="Assumptions" sheetId="2" r:id="Rc269d36f112e4dfa"/>
    <x:sheet xmlns:r="http://schemas.openxmlformats.org/officeDocument/2006/relationships" name="Monthly Model" sheetId="3" r:id="R7484f98f267847a1"/>
    <x:sheet xmlns:r="http://schemas.openxmlformats.org/officeDocument/2006/relationships" name="Unit Economics" sheetId="4" r:id="Rb96ae09b9c9645ab"/>
    <x:sheet xmlns:r="http://schemas.openxmlformats.org/officeDocument/2006/relationships" name="Sensitivity" sheetId="5" r:id="R3369def8da0741f1"/>
    <x:sheet xmlns:r="http://schemas.openxmlformats.org/officeDocument/2006/relationships" name="Sources" sheetId="6" r:id="Rc87ada9415fd4bdf"/>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0%"/>
    <x:numFmt numFmtId="201" formatCode="#,##0.0"/>
    <x:numFmt numFmtId="202" formatCode="0"/>
    <x:numFmt numFmtId="203" formatCode="0%"/>
    <x:numFmt numFmtId="204" formatCode="#,##0.0;[Red](#,##0.0);-"/>
    <x:numFmt numFmtId="205" formatCode="0.00%"/>
    <x:numFmt numFmtId="206" formatCode="₹#,##0;[Red](₹#,##0);-"/>
    <x:numFmt numFmtId="207" formatCode="@"/>
    <x:numFmt numFmtId="208" formatCode="#,##0"/>
  </x:numFmts>
  <x:fonts count="18">
    <x:font>
      <x:sz val="11"/>
      <x:name val="Carlito"/>
    </x:font>
    <x:font>
      <x:sz val="10"/>
      <x:color rgb="FF202124"/>
      <x:name val="Arial"/>
    </x:font>
    <x:font>
      <x:b/>
      <x:sz val="16"/>
      <x:color rgb="FF4A0E45"/>
      <x:name val="Arial"/>
    </x:font>
    <x:font>
      <x:i/>
      <x:sz val="9"/>
      <x:color rgb="FF4B5563"/>
      <x:name val="Arial"/>
    </x:font>
    <x:font>
      <x:sz val="10"/>
      <x:color rgb="FF2563EB"/>
      <x:name val="Arial"/>
    </x:font>
    <x:font>
      <x:b/>
      <x:sz val="11"/>
      <x:color rgb="FF202124"/>
      <x:name val="Arial"/>
    </x:font>
    <x:font>
      <x:b/>
      <x:sz val="10"/>
      <x:color rgb="FFFFFFFF"/>
      <x:name val="Arial"/>
    </x:font>
    <x:font>
      <x:b/>
      <x:sz val="9"/>
      <x:color rgb="FFFFFFFF"/>
      <x:name val="Arial"/>
    </x:font>
    <x:font>
      <x:b/>
      <x:sz val="10"/>
      <x:color rgb="FF202124"/>
      <x:name val="Arial"/>
    </x:font>
    <x:font>
      <x:b/>
      <x:sz val="10"/>
      <x:color rgb="FF4B5563"/>
      <x:name val="Arial"/>
    </x:font>
    <x:font>
      <x:b/>
      <x:sz val="11"/>
      <x:color rgb="FF008060"/>
      <x:name val="Arial"/>
    </x:font>
    <x:font>
      <x:b/>
      <x:sz val="10"/>
      <x:color rgb="FF4A0E45"/>
      <x:name val="Arial"/>
    </x:font>
    <x:font>
      <x:sz val="10"/>
      <x:color rgb="FF008060"/>
      <x:name val="Arial"/>
    </x:font>
    <x:font>
      <x:b/>
      <x:sz val="10"/>
      <x:color rgb="FF008060"/>
      <x:name val="Arial"/>
    </x:font>
    <x:font>
      <x:sz val="10"/>
      <x:color rgb="FF4B5563"/>
      <x:name val="Arial"/>
    </x:font>
    <x:font>
      <x:b/>
      <x:sz val="9"/>
      <x:color rgb="FF4B5563"/>
      <x:name val="Arial"/>
    </x:font>
    <x:font>
      <x:b/>
      <x:sz val="10"/>
      <x:color rgb="FFC96B00"/>
      <x:name val="Arial"/>
    </x:font>
    <x:font>
      <x:sz val="1"/>
      <x:color rgb="FFFFFFFF"/>
      <x:name val="Arial"/>
    </x:font>
  </x:fonts>
  <x:fills count="10">
    <x:fill>
      <x:patternFill patternType="none"/>
    </x:fill>
    <x:fill>
      <x:patternFill patternType="gray125"/>
    </x:fill>
    <x:fill>
      <x:patternFill patternType="solid">
        <x:fgColor rgb="FFFFF7D6"/>
      </x:patternFill>
    </x:fill>
    <x:fill>
      <x:patternFill patternType="solid">
        <x:fgColor rgb="FFEDE2F4"/>
      </x:patternFill>
    </x:fill>
    <x:fill>
      <x:patternFill patternType="solid">
        <x:fgColor rgb="FF4A0E45"/>
      </x:patternFill>
    </x:fill>
    <x:fill>
      <x:patternFill patternType="solid">
        <x:fgColor rgb="FF64165B"/>
      </x:patternFill>
    </x:fill>
    <x:fill>
      <x:patternFill patternType="solid">
        <x:fgColor rgb="FFF8FAFC"/>
      </x:patternFill>
    </x:fill>
    <x:fill>
      <x:patternFill patternType="solid">
        <x:fgColor rgb="FFC96B00"/>
      </x:patternFill>
    </x:fill>
    <x:fill>
      <x:patternFill patternType="solid">
        <x:fgColor rgb="FFFFF2D6"/>
      </x:patternFill>
    </x:fill>
    <x:fill>
      <x:patternFill patternType="solid">
        <x:fgColor rgb="FFF3F4F6"/>
      </x:patternFill>
    </x:fill>
  </x:fills>
  <x:borders count="44">
    <x:border/>
    <x:border>
      <x:left style="thin">
        <x:color rgb="FF4A0E45"/>
      </x:left>
      <x:right style="thin">
        <x:color rgb="FF4A0E45"/>
      </x:right>
      <x:top style="thin">
        <x:color rgb="FF4A0E45"/>
      </x:top>
      <x:bottom style="thin">
        <x:color rgb="FF4A0E45"/>
      </x:bottom>
    </x:border>
    <x:border>
      <x:left style="thin">
        <x:color rgb="FF4A0E45"/>
      </x:left>
      <x:top style="thin">
        <x:color rgb="FF4A0E45"/>
      </x:top>
      <x:bottom style="thin">
        <x:color rgb="FF4A0E45"/>
      </x:bottom>
    </x:border>
    <x:border>
      <x:top style="thin">
        <x:color rgb="FF4A0E45"/>
      </x:top>
      <x:bottom style="thin">
        <x:color rgb="FF4A0E45"/>
      </x:bottom>
    </x:border>
    <x:border>
      <x:right style="thin">
        <x:color rgb="FF4A0E45"/>
      </x:right>
      <x:top style="thin">
        <x:color rgb="FF4A0E45"/>
      </x:top>
      <x:bottom style="thin">
        <x:color rgb="FF4A0E45"/>
      </x:bottom>
    </x:border>
    <x:border>
      <x:left style="thin">
        <x:color rgb="FFFFFFFF"/>
      </x:left>
      <x:right style="thin">
        <x:color rgb="FFFFFFFF"/>
      </x:right>
      <x:top style="thin">
        <x:color rgb="FFFFFFFF"/>
      </x:top>
      <x:bottom style="thin">
        <x:color rgb="FFFFFFFF"/>
      </x:bottom>
    </x:border>
    <x:border>
      <x:bottom style="thin">
        <x:color rgb="FFE5E7EB"/>
      </x:bottom>
    </x:border>
    <x:border>
      <x:top style="thin">
        <x:color rgb="FFE5E7EB"/>
      </x:top>
      <x:bottom style="thin">
        <x:color rgb="FFE5E7EB"/>
      </x:bottom>
    </x:border>
    <x:border>
      <x:top style="thin">
        <x:color rgb="FFE5E7EB"/>
      </x:top>
      <x:bottom style="thin">
        <x:color rgb="FFD1D5DB"/>
      </x:bottom>
    </x:border>
    <x:border>
      <x:left style="dashed">
        <x:color rgb="FF4A0E45"/>
      </x:left>
      <x:right style="dashed">
        <x:color rgb="FF4A0E45"/>
      </x:right>
      <x:top style="dashed">
        <x:color rgb="FF4A0E45"/>
      </x:top>
      <x:bottom style="dashed">
        <x:color rgb="FF4A0E45"/>
      </x:bottom>
    </x:border>
    <x:border>
      <x:left style="thin">
        <x:color rgb="FF64165B"/>
      </x:left>
      <x:top style="thin">
        <x:color rgb="FF64165B"/>
      </x:top>
      <x:bottom style="thin">
        <x:color rgb="FF64165B"/>
      </x:bottom>
    </x:border>
    <x:border>
      <x:top style="thin">
        <x:color rgb="FF64165B"/>
      </x:top>
      <x:bottom style="thin">
        <x:color rgb="FF64165B"/>
      </x:bottom>
    </x:border>
    <x:border>
      <x:right style="thin">
        <x:color rgb="FF64165B"/>
      </x:right>
      <x:top style="thin">
        <x:color rgb="FF64165B"/>
      </x:top>
      <x:bottom style="thin">
        <x:color rgb="FF64165B"/>
      </x:bottom>
    </x:border>
    <x:border>
      <x:left style="thin">
        <x:color rgb="FFC96B00"/>
      </x:left>
      <x:top style="thin">
        <x:color rgb="FFC96B00"/>
      </x:top>
      <x:bottom style="thin">
        <x:color rgb="FFC96B00"/>
      </x:bottom>
    </x:border>
    <x:border>
      <x:top style="thin">
        <x:color rgb="FFC96B00"/>
      </x:top>
      <x:bottom style="thin">
        <x:color rgb="FFC96B00"/>
      </x:bottom>
    </x:border>
    <x:border>
      <x:right style="thin">
        <x:color rgb="FFC96B00"/>
      </x:right>
      <x:top style="thin">
        <x:color rgb="FFC96B00"/>
      </x:top>
      <x:bottom style="thin">
        <x:color rgb="FFC96B00"/>
      </x:bottom>
    </x:border>
    <x:border>
      <x:left style="thin">
        <x:color rgb="FFD1D5DB"/>
      </x:left>
      <x:top style="thin">
        <x:color rgb="FFD1D5DB"/>
      </x:top>
    </x:border>
    <x:border>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bottom style="thin">
        <x:color rgb="FFD1D5DB"/>
      </x:bottom>
    </x:border>
    <x:border>
      <x:right style="thin">
        <x:color rgb="FFD1D5DB"/>
      </x:right>
      <x:bottom style="thin">
        <x:color rgb="FFD1D5DB"/>
      </x:bottom>
    </x:border>
    <x:border>
      <x:left style="thin">
        <x:color rgb="FFF59E0B"/>
      </x:left>
      <x:top style="thin">
        <x:color rgb="FFF59E0B"/>
      </x:top>
    </x:border>
    <x:border>
      <x:top style="thin">
        <x:color rgb="FFF59E0B"/>
      </x:top>
    </x:border>
    <x:border>
      <x:right style="thin">
        <x:color rgb="FFF59E0B"/>
      </x:right>
      <x:top style="thin">
        <x:color rgb="FFF59E0B"/>
      </x:top>
    </x:border>
    <x:border>
      <x:left style="thin">
        <x:color rgb="FFF59E0B"/>
      </x:left>
    </x:border>
    <x:border>
      <x:right style="thin">
        <x:color rgb="FFF59E0B"/>
      </x:right>
    </x:border>
    <x:border>
      <x:left style="thin">
        <x:color rgb="FFF59E0B"/>
      </x:left>
      <x:bottom style="thin">
        <x:color rgb="FFF59E0B"/>
      </x:bottom>
    </x:border>
    <x:border>
      <x:bottom style="thin">
        <x:color rgb="FFF59E0B"/>
      </x:bottom>
    </x:border>
    <x:border>
      <x:right style="thin">
        <x:color rgb="FFF59E0B"/>
      </x:right>
      <x:bottom style="thin">
        <x:color rgb="FFF59E0B"/>
      </x:bottom>
    </x:border>
    <x:border>
      <x:left style="thin">
        <x:color rgb="FF4A0E45"/>
      </x:left>
      <x:top style="thin">
        <x:color rgb="FF4A0E45"/>
      </x:top>
    </x:border>
    <x:border>
      <x:top style="thin">
        <x:color rgb="FF4A0E45"/>
      </x:top>
    </x:border>
    <x:border>
      <x:right style="thin">
        <x:color rgb="FF4A0E45"/>
      </x:right>
      <x:top style="thin">
        <x:color rgb="FF4A0E45"/>
      </x:top>
    </x:border>
    <x:border>
      <x:left style="thin">
        <x:color rgb="FF4A0E45"/>
      </x:left>
    </x:border>
    <x:border>
      <x:right style="thin">
        <x:color rgb="FF4A0E45"/>
      </x:right>
    </x:border>
    <x:border>
      <x:left style="thin">
        <x:color rgb="FF4A0E45"/>
      </x:left>
      <x:bottom style="thin">
        <x:color rgb="FF4A0E45"/>
      </x:bottom>
    </x:border>
    <x:border>
      <x:bottom style="thin">
        <x:color rgb="FF4A0E45"/>
      </x:bottom>
    </x:border>
    <x:border>
      <x:right style="thin">
        <x:color rgb="FF4A0E45"/>
      </x:right>
      <x:bottom style="thin">
        <x:color rgb="FF4A0E45"/>
      </x:bottom>
    </x:border>
    <x:border>
      <x:left style="thin">
        <x:color rgb="FFD1D5DB"/>
      </x:left>
      <x:right style="thin">
        <x:color rgb="FFD1D5DB"/>
      </x:right>
      <x:top style="thin">
        <x:color rgb="FFD1D5DB"/>
      </x:top>
      <x:bottom style="thin">
        <x:color rgb="FFD1D5DB"/>
      </x:bottom>
    </x:border>
    <x:border>
      <x:left style="thin">
        <x:color rgb="FFF59E0B"/>
      </x:left>
      <x:top style="thin">
        <x:color rgb="FFF59E0B"/>
      </x:top>
      <x:bottom style="thin">
        <x:color rgb="FFF59E0B"/>
      </x:bottom>
    </x:border>
    <x:border>
      <x:top style="thin">
        <x:color rgb="FFF59E0B"/>
      </x:top>
      <x:bottom style="thin">
        <x:color rgb="FFF59E0B"/>
      </x:bottom>
    </x:border>
    <x:border>
      <x:right style="thin">
        <x:color rgb="FFF59E0B"/>
      </x:right>
      <x:top style="thin">
        <x:color rgb="FFF59E0B"/>
      </x:top>
      <x:bottom style="thin">
        <x:color rgb="FFF59E0B"/>
      </x:bottom>
    </x:border>
  </x:borders>
  <x:cellStyleXfs count="1">
    <x:xf numFmtId="0" fontId="0" fillId="0" borderId="0"/>
  </x:cellStyleXfs>
  <x:cellXfs count="38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1" xfId="0" applyNumberFormat="1" applyFont="1" applyFill="1" applyBorder="1" applyAlignment="1">
      <x:alignment vertical="center"/>
    </x:xf>
    <x:xf numFmtId="0" fontId="5" fillId="3" borderId="1"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6" fillId="4" borderId="2" xfId="0" applyNumberFormat="1" applyFont="1" applyFill="1" applyBorder="1" applyAlignment="1">
      <x:alignment vertical="center"/>
    </x:xf>
    <x:xf numFmtId="0" fontId="6" fillId="4" borderId="3" xfId="0" applyNumberFormat="1" applyFont="1" applyFill="1" applyBorder="1" applyAlignment="1">
      <x:alignment vertical="center"/>
    </x:xf>
    <x:xf numFmtId="0" fontId="6" fillId="4" borderId="4" xfId="0" applyNumberFormat="1" applyFont="1" applyFill="1" applyBorder="1" applyAlignment="1">
      <x:alignment vertical="center"/>
    </x:xf>
    <x:xf numFmtId="0" fontId="6" fillId="4" borderId="2" xfId="0" applyNumberFormat="1" applyFont="1" applyFill="1" applyBorder="1" applyAlignment="1">
      <x:alignment horizontal="left" vertical="center"/>
    </x:xf>
    <x:xf numFmtId="0" fontId="6" fillId="4" borderId="3" xfId="0" applyNumberFormat="1" applyFont="1" applyFill="1" applyBorder="1" applyAlignment="1">
      <x:alignment horizontal="left" vertical="center"/>
    </x:xf>
    <x:xf numFmtId="0" fontId="6" fillId="4" borderId="4" xfId="0" applyNumberFormat="1" applyFont="1" applyFill="1" applyBorder="1" applyAlignment="1">
      <x:alignment horizontal="left" vertical="center"/>
    </x:xf>
    <x:xf numFmtId="0" fontId="1" fillId="5" borderId="0" xfId="0" applyNumberFormat="1" applyFont="1" applyFill="1" applyBorder="1" applyAlignment="1">
      <x:alignment vertical="center"/>
    </x:xf>
    <x:xf numFmtId="0" fontId="7" fillId="5" borderId="0" xfId="0" applyNumberFormat="1" applyFont="1" applyFill="1" applyBorder="1" applyAlignment="1">
      <x:alignment vertical="center"/>
    </x:xf>
    <x:xf numFmtId="0" fontId="7" fillId="5" borderId="5" xfId="0" applyNumberFormat="1" applyFont="1" applyFill="1" applyBorder="1" applyAlignment="1">
      <x:alignment vertical="center"/>
    </x:xf>
    <x:xf numFmtId="0" fontId="7" fillId="5" borderId="5" xfId="0" applyNumberFormat="1" applyFont="1" applyFill="1" applyBorder="1" applyAlignment="1">
      <x:alignment vertical="center" wrapText="1"/>
    </x:xf>
    <x:xf numFmtId="0" fontId="7" fillId="5" borderId="5" xfId="0" applyNumberFormat="1" applyFont="1" applyFill="1" applyBorder="1" applyAlignment="1">
      <x:alignment horizontal="center" vertical="center" wrapText="1"/>
    </x:xf>
    <x:xf numFmtId="0" fontId="1" fillId="0"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1" fillId="0" borderId="8" xfId="0" applyNumberFormat="1" applyFont="1" applyFill="1" applyBorder="1" applyAlignment="1">
      <x:alignment vertical="center"/>
    </x:xf>
    <x:xf numFmtId="0" fontId="1" fillId="2" borderId="6" xfId="0" applyNumberFormat="1" applyFont="1" applyFill="1" applyBorder="1" applyAlignment="1">
      <x:alignment vertical="center"/>
    </x:xf>
    <x:xf numFmtId="0" fontId="1" fillId="2" borderId="7" xfId="0" applyNumberFormat="1" applyFont="1" applyFill="1" applyBorder="1" applyAlignment="1">
      <x:alignment vertical="center"/>
    </x:xf>
    <x:xf numFmtId="0" fontId="4" fillId="2" borderId="6" xfId="0" applyNumberFormat="1" applyFont="1" applyFill="1" applyBorder="1" applyAlignment="1">
      <x:alignment vertical="center"/>
    </x:xf>
    <x:xf numFmtId="0" fontId="4" fillId="2" borderId="7" xfId="0" applyNumberFormat="1" applyFont="1" applyFill="1" applyBorder="1" applyAlignment="1">
      <x:alignment vertical="center"/>
    </x:xf>
    <x:xf numFmtId="0" fontId="1" fillId="2" borderId="8" xfId="0" applyNumberFormat="1" applyFont="1" applyFill="1" applyBorder="1" applyAlignment="1">
      <x:alignment vertical="center"/>
    </x:xf>
    <x:xf numFmtId="0" fontId="4" fillId="2" borderId="8" xfId="0" applyNumberFormat="1" applyFont="1" applyFill="1" applyBorder="1" applyAlignment="1">
      <x:alignment vertical="center"/>
    </x:xf>
    <x:xf numFmtId="0" fontId="1" fillId="6" borderId="6" xfId="0" applyNumberFormat="1" applyFont="1" applyFill="1" applyBorder="1" applyAlignment="1">
      <x:alignment vertical="center"/>
    </x:xf>
    <x:xf numFmtId="0" fontId="1" fillId="6" borderId="7" xfId="0" applyNumberFormat="1" applyFont="1" applyFill="1" applyBorder="1" applyAlignment="1">
      <x:alignment vertical="center"/>
    </x:xf>
    <x:xf numFmtId="0" fontId="1" fillId="6" borderId="8" xfId="0" applyNumberFormat="1" applyFont="1" applyFill="1" applyBorder="1" applyAlignment="1">
      <x:alignment vertical="center"/>
    </x:xf>
    <x:xf numFmtId="0" fontId="1" fillId="6" borderId="0" xfId="0" applyNumberFormat="1" applyFont="1" applyFill="1" applyBorder="1" applyAlignment="1">
      <x:alignment vertical="center"/>
    </x:xf>
    <x:xf numFmtId="0" fontId="6" fillId="6" borderId="3" xfId="0" applyNumberFormat="1" applyFont="1" applyFill="1" applyBorder="1" applyAlignment="1">
      <x:alignment horizontal="left" vertical="center"/>
    </x:xf>
    <x:xf numFmtId="0" fontId="7" fillId="6" borderId="5" xfId="0" applyNumberFormat="1" applyFont="1" applyFill="1" applyBorder="1" applyAlignment="1">
      <x:alignment horizontal="center" vertical="center" wrapText="1"/>
    </x:xf>
    <x:xf numFmtId="0" fontId="8" fillId="6" borderId="6" xfId="0" applyNumberFormat="1" applyFont="1" applyFill="1" applyBorder="1" applyAlignment="1">
      <x:alignment vertical="center"/>
    </x:xf>
    <x:xf numFmtId="0" fontId="8" fillId="6" borderId="7" xfId="0" applyNumberFormat="1" applyFont="1" applyFill="1" applyBorder="1" applyAlignment="1">
      <x:alignment vertical="center"/>
    </x:xf>
    <x:xf numFmtId="0" fontId="8" fillId="6" borderId="8" xfId="0" applyNumberFormat="1" applyFont="1" applyFill="1" applyBorder="1" applyAlignment="1">
      <x:alignment vertical="center"/>
    </x:xf>
    <x:xf numFmtId="0" fontId="8" fillId="6" borderId="0" xfId="0" applyNumberFormat="1" applyFont="1" applyFill="1" applyBorder="1" applyAlignment="1">
      <x:alignment vertical="center"/>
    </x:xf>
    <x:xf numFmtId="0" fontId="8" fillId="6" borderId="3" xfId="0" applyNumberFormat="1" applyFont="1" applyFill="1" applyBorder="1" applyAlignment="1">
      <x:alignment horizontal="left" vertical="center"/>
    </x:xf>
    <x:xf numFmtId="0" fontId="8" fillId="6" borderId="5" xfId="0" applyNumberFormat="1" applyFont="1" applyFill="1" applyBorder="1" applyAlignment="1">
      <x:alignment horizontal="center" vertical="center" wrapText="1"/>
    </x:xf>
    <x:xf numFmtId="200" fontId="4" fillId="2" borderId="6" xfId="0" applyNumberFormat="1" applyFont="1" applyFill="1" applyBorder="1" applyAlignment="1">
      <x:alignment vertical="center"/>
    </x:xf>
    <x:xf numFmtId="200" fontId="4" fillId="2" borderId="7" xfId="0" applyNumberFormat="1" applyFont="1" applyFill="1" applyBorder="1" applyAlignment="1">
      <x:alignment vertical="center"/>
    </x:xf>
    <x:xf numFmtId="200" fontId="1" fillId="0" borderId="7" xfId="0" applyNumberFormat="1" applyFont="1" applyFill="1" applyBorder="1" applyAlignment="1">
      <x:alignment vertical="center"/>
    </x:xf>
    <x:xf numFmtId="200" fontId="4" fillId="2" borderId="8" xfId="0" applyNumberFormat="1" applyFont="1" applyFill="1" applyBorder="1" applyAlignment="1">
      <x:alignment vertical="center"/>
    </x:xf>
    <x:xf numFmtId="200" fontId="1" fillId="0" borderId="0" xfId="0" applyNumberFormat="1" applyFont="1" applyFill="1" applyBorder="1" applyAlignment="1">
      <x:alignment vertical="center"/>
    </x:xf>
    <x:xf numFmtId="200" fontId="6" fillId="4" borderId="3" xfId="0" applyNumberFormat="1" applyFont="1" applyFill="1" applyBorder="1" applyAlignment="1">
      <x:alignment horizontal="left" vertical="center"/>
    </x:xf>
    <x:xf numFmtId="200" fontId="7" fillId="5" borderId="5" xfId="0" applyNumberFormat="1" applyFont="1" applyFill="1" applyBorder="1" applyAlignment="1">
      <x:alignment horizontal="center" vertical="center" wrapText="1"/>
    </x:xf>
    <x:xf numFmtId="201" fontId="4" fillId="2" borderId="6" xfId="0" applyNumberFormat="1" applyFont="1" applyFill="1" applyBorder="1" applyAlignment="1">
      <x:alignment vertical="center"/>
    </x:xf>
    <x:xf numFmtId="201" fontId="4" fillId="2" borderId="8" xfId="0" applyNumberFormat="1" applyFont="1" applyFill="1" applyBorder="1" applyAlignment="1">
      <x:alignment vertical="center"/>
    </x:xf>
    <x:xf numFmtId="201" fontId="8" fillId="6" borderId="6" xfId="0" applyNumberFormat="1" applyFont="1" applyFill="1" applyBorder="1" applyAlignment="1">
      <x:alignment vertical="center"/>
    </x:xf>
    <x:xf numFmtId="201" fontId="8" fillId="6" borderId="8" xfId="0" applyNumberFormat="1" applyFont="1" applyFill="1" applyBorder="1" applyAlignment="1">
      <x:alignment vertical="center"/>
    </x:xf>
    <x:xf numFmtId="202" fontId="1" fillId="0" borderId="6" xfId="0" applyNumberFormat="1" applyFont="1" applyFill="1" applyBorder="1" applyAlignment="1">
      <x:alignment vertical="center"/>
    </x:xf>
    <x:xf numFmtId="202" fontId="1" fillId="0" borderId="7" xfId="0" applyNumberFormat="1" applyFont="1" applyFill="1" applyBorder="1" applyAlignment="1">
      <x:alignment vertical="center"/>
    </x:xf>
    <x:xf numFmtId="202" fontId="1" fillId="0" borderId="8" xfId="0" applyNumberFormat="1" applyFont="1" applyFill="1" applyBorder="1" applyAlignment="1">
      <x:alignment vertical="center"/>
    </x:xf>
    <x:xf numFmtId="203" fontId="4" fillId="2" borderId="6" xfId="0" applyNumberFormat="1" applyFont="1" applyFill="1" applyBorder="1" applyAlignment="1">
      <x:alignment vertical="center"/>
    </x:xf>
    <x:xf numFmtId="203" fontId="4" fillId="2" borderId="7" xfId="0" applyNumberFormat="1" applyFont="1" applyFill="1" applyBorder="1" applyAlignment="1">
      <x:alignment vertical="center"/>
    </x:xf>
    <x:xf numFmtId="203" fontId="4" fillId="2" borderId="8" xfId="0" applyNumberFormat="1" applyFont="1" applyFill="1" applyBorder="1" applyAlignment="1">
      <x:alignment vertical="center"/>
    </x:xf>
    <x:xf numFmtId="0" fontId="1" fillId="0" borderId="6" xfId="0" applyNumberFormat="1" applyFont="1" applyFill="1" applyBorder="1" applyAlignment="1">
      <x:alignment horizontal="left" vertical="center"/>
    </x:xf>
    <x:xf numFmtId="0" fontId="1" fillId="0" borderId="7" xfId="0" applyNumberFormat="1" applyFont="1" applyFill="1" applyBorder="1" applyAlignment="1">
      <x:alignment horizontal="left" vertical="center"/>
    </x:xf>
    <x:xf numFmtId="0" fontId="1" fillId="0" borderId="8" xfId="0" applyNumberFormat="1" applyFont="1" applyFill="1" applyBorder="1" applyAlignment="1">
      <x:alignment horizontal="left" vertical="center"/>
    </x:xf>
    <x:xf numFmtId="0" fontId="1" fillId="0" borderId="0" xfId="0" applyNumberFormat="1" applyFont="1" applyFill="1" applyBorder="1" applyAlignment="1">
      <x:alignment horizontal="left" vertical="center"/>
    </x:xf>
    <x:xf numFmtId="0" fontId="7" fillId="5" borderId="5" xfId="0" applyNumberFormat="1" applyFont="1" applyFill="1" applyBorder="1" applyAlignment="1">
      <x:alignment horizontal="left" vertical="center" wrapText="1"/>
    </x:xf>
    <x:xf numFmtId="0" fontId="1" fillId="0" borderId="6" xfId="0" applyNumberFormat="1" applyFont="1" applyFill="1" applyBorder="1" applyAlignment="1">
      <x:alignment horizontal="right" vertical="center"/>
    </x:xf>
    <x:xf numFmtId="201" fontId="8" fillId="6" borderId="6" xfId="0" applyNumberFormat="1" applyFont="1" applyFill="1" applyBorder="1" applyAlignment="1">
      <x:alignment horizontal="right" vertical="center"/>
    </x:xf>
    <x:xf numFmtId="201" fontId="4" fillId="2" borderId="6" xfId="0" applyNumberFormat="1" applyFont="1" applyFill="1" applyBorder="1" applyAlignment="1">
      <x:alignment horizontal="right" vertical="center"/>
    </x:xf>
    <x:xf numFmtId="0" fontId="1" fillId="0" borderId="7" xfId="0" applyNumberFormat="1" applyFont="1" applyFill="1" applyBorder="1" applyAlignment="1">
      <x:alignment horizontal="right" vertical="center"/>
    </x:xf>
    <x:xf numFmtId="0" fontId="8" fillId="6" borderId="7" xfId="0" applyNumberFormat="1" applyFont="1" applyFill="1" applyBorder="1" applyAlignment="1">
      <x:alignment horizontal="right" vertical="center"/>
    </x:xf>
    <x:xf numFmtId="200" fontId="4" fillId="2" borderId="7" xfId="0" applyNumberFormat="1" applyFont="1" applyFill="1" applyBorder="1" applyAlignment="1">
      <x:alignment horizontal="right" vertical="center"/>
    </x:xf>
    <x:xf numFmtId="200" fontId="1" fillId="0" borderId="7" xfId="0" applyNumberFormat="1" applyFont="1" applyFill="1" applyBorder="1" applyAlignment="1">
      <x:alignment horizontal="right" vertical="center"/>
    </x:xf>
    <x:xf numFmtId="0" fontId="1" fillId="0" borderId="8" xfId="0" applyNumberFormat="1" applyFont="1" applyFill="1" applyBorder="1" applyAlignment="1">
      <x:alignment horizontal="right" vertical="center"/>
    </x:xf>
    <x:xf numFmtId="0" fontId="8" fillId="6" borderId="8" xfId="0" applyNumberFormat="1" applyFont="1" applyFill="1" applyBorder="1" applyAlignment="1">
      <x:alignment horizontal="right" vertical="center"/>
    </x:xf>
    <x:xf numFmtId="200" fontId="4" fillId="2" borderId="8"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xf numFmtId="0" fontId="8" fillId="6"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0" fontId="6" fillId="4" borderId="3" xfId="0" applyNumberFormat="1" applyFont="1" applyFill="1" applyBorder="1" applyAlignment="1">
      <x:alignment horizontal="right" vertical="center"/>
    </x:xf>
    <x:xf numFmtId="0" fontId="8" fillId="6" borderId="3" xfId="0" applyNumberFormat="1" applyFont="1" applyFill="1" applyBorder="1" applyAlignment="1">
      <x:alignment horizontal="right" vertical="center"/>
    </x:xf>
    <x:xf numFmtId="200" fontId="6" fillId="4" borderId="3" xfId="0" applyNumberFormat="1" applyFont="1" applyFill="1" applyBorder="1" applyAlignment="1">
      <x:alignment horizontal="right" vertical="center"/>
    </x:xf>
    <x:xf numFmtId="0" fontId="7" fillId="5" borderId="5" xfId="0" applyNumberFormat="1" applyFont="1" applyFill="1" applyBorder="1" applyAlignment="1">
      <x:alignment horizontal="right" vertical="center" wrapText="1"/>
    </x:xf>
    <x:xf numFmtId="0" fontId="8" fillId="6" borderId="5" xfId="0" applyNumberFormat="1" applyFont="1" applyFill="1" applyBorder="1" applyAlignment="1">
      <x:alignment horizontal="right" vertical="center" wrapText="1"/>
    </x:xf>
    <x:xf numFmtId="200" fontId="7" fillId="5" borderId="5" xfId="0" applyNumberFormat="1" applyFont="1" applyFill="1" applyBorder="1" applyAlignment="1">
      <x:alignment horizontal="right" vertical="center" wrapText="1"/>
    </x:xf>
    <x:xf numFmtId="0" fontId="8" fillId="6" borderId="6" xfId="0" applyNumberFormat="1" applyFont="1" applyFill="1" applyBorder="1" applyAlignment="1">
      <x:alignment horizontal="right" vertical="center"/>
    </x:xf>
    <x:xf numFmtId="200" fontId="4" fillId="2" borderId="6" xfId="0" applyNumberFormat="1" applyFont="1" applyFill="1" applyBorder="1" applyAlignment="1">
      <x:alignment horizontal="right" vertical="center"/>
    </x:xf>
    <x:xf numFmtId="201" fontId="8" fillId="6" borderId="8" xfId="0" applyNumberFormat="1" applyFont="1" applyFill="1" applyBorder="1" applyAlignment="1">
      <x:alignment horizontal="right" vertical="center"/>
    </x:xf>
    <x:xf numFmtId="201" fontId="4" fillId="2" borderId="8" xfId="0" applyNumberFormat="1" applyFont="1" applyFill="1" applyBorder="1" applyAlignment="1">
      <x:alignment horizontal="right" vertical="center"/>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6" fillId="4" borderId="4" xfId="0" applyNumberFormat="1" applyFont="1" applyFill="1" applyBorder="1" applyAlignment="1">
      <x:alignment horizontal="left" vertical="center" wrapText="1"/>
    </x:xf>
    <x:xf numFmtId="0" fontId="9" fillId="0" borderId="0" xfId="0" applyNumberFormat="1" applyFont="1" applyFill="1" applyBorder="1" applyAlignment="1">
      <x:alignment vertical="center"/>
    </x:xf>
    <x:xf numFmtId="0" fontId="10" fillId="3" borderId="0" xfId="0" applyNumberFormat="1" applyFont="1" applyFill="1" applyBorder="1" applyAlignment="1">
      <x:alignment vertical="center"/>
    </x:xf>
    <x:xf numFmtId="0" fontId="10" fillId="3" borderId="9" xfId="0" applyNumberFormat="1" applyFont="1" applyFill="1" applyBorder="1" applyAlignment="1">
      <x:alignment vertical="center"/>
    </x:xf>
    <x:xf numFmtId="0" fontId="10" fillId="3" borderId="9" xfId="0" applyNumberFormat="1" applyFont="1" applyFill="1" applyBorder="1" applyAlignment="1">
      <x:alignment horizontal="center" vertical="center"/>
    </x:xf>
    <x:xf numFmtId="0" fontId="6" fillId="5" borderId="0" xfId="0" applyNumberFormat="1" applyFont="1" applyFill="1" applyBorder="1" applyAlignment="1">
      <x:alignment vertical="center"/>
    </x:xf>
    <x:xf numFmtId="0" fontId="6" fillId="5" borderId="10" xfId="0" applyNumberFormat="1" applyFont="1" applyFill="1" applyBorder="1" applyAlignment="1">
      <x:alignment vertical="center"/>
    </x:xf>
    <x:xf numFmtId="0" fontId="6" fillId="5" borderId="11" xfId="0" applyNumberFormat="1" applyFont="1" applyFill="1" applyBorder="1" applyAlignment="1">
      <x:alignment vertical="center"/>
    </x:xf>
    <x:xf numFmtId="0" fontId="6" fillId="5" borderId="12" xfId="0" applyNumberFormat="1" applyFont="1" applyFill="1" applyBorder="1" applyAlignment="1">
      <x:alignment vertical="center"/>
    </x:xf>
    <x:xf numFmtId="0" fontId="6" fillId="5" borderId="10" xfId="0" applyNumberFormat="1" applyFont="1" applyFill="1" applyBorder="1" applyAlignment="1">
      <x:alignment horizontal="left" vertical="center"/>
    </x:xf>
    <x:xf numFmtId="0" fontId="6" fillId="5" borderId="11" xfId="0" applyNumberFormat="1" applyFont="1" applyFill="1" applyBorder="1" applyAlignment="1">
      <x:alignment horizontal="left" vertical="center"/>
    </x:xf>
    <x:xf numFmtId="0" fontId="6" fillId="5" borderId="12" xfId="0" applyNumberFormat="1" applyFont="1" applyFill="1" applyBorder="1" applyAlignment="1">
      <x:alignment horizontal="left" vertical="center"/>
    </x:xf>
    <x:xf numFmtId="0" fontId="1" fillId="7" borderId="0" xfId="0" applyNumberFormat="1" applyFont="1" applyFill="1" applyBorder="1" applyAlignment="1">
      <x:alignment vertical="center"/>
    </x:xf>
    <x:xf numFmtId="0" fontId="6" fillId="7" borderId="0" xfId="0" applyNumberFormat="1" applyFont="1" applyFill="1" applyBorder="1" applyAlignment="1">
      <x:alignment vertical="center"/>
    </x:xf>
    <x:xf numFmtId="0" fontId="6" fillId="7" borderId="13" xfId="0" applyNumberFormat="1" applyFont="1" applyFill="1" applyBorder="1" applyAlignment="1">
      <x:alignment vertical="center"/>
    </x:xf>
    <x:xf numFmtId="0" fontId="6" fillId="7" borderId="14" xfId="0" applyNumberFormat="1" applyFont="1" applyFill="1" applyBorder="1" applyAlignment="1">
      <x:alignment vertical="center"/>
    </x:xf>
    <x:xf numFmtId="0" fontId="6" fillId="7" borderId="15" xfId="0" applyNumberFormat="1" applyFont="1" applyFill="1" applyBorder="1" applyAlignment="1">
      <x:alignment vertical="center"/>
    </x:xf>
    <x:xf numFmtId="0" fontId="6" fillId="7" borderId="13" xfId="0" applyNumberFormat="1" applyFont="1" applyFill="1" applyBorder="1" applyAlignment="1">
      <x:alignment horizontal="left" vertical="center"/>
    </x:xf>
    <x:xf numFmtId="0" fontId="6" fillId="7" borderId="14" xfId="0" applyNumberFormat="1" applyFont="1" applyFill="1" applyBorder="1" applyAlignment="1">
      <x:alignment horizontal="left" vertical="center"/>
    </x:xf>
    <x:xf numFmtId="0" fontId="6" fillId="7" borderId="15" xfId="0" applyNumberFormat="1" applyFont="1" applyFill="1" applyBorder="1" applyAlignment="1">
      <x:alignment horizontal="left" vertical="center"/>
    </x:xf>
    <x:xf numFmtId="204" fontId="1" fillId="0" borderId="6" xfId="0" applyNumberFormat="1" applyFont="1" applyFill="1" applyBorder="1" applyAlignment="1">
      <x:alignment vertical="center"/>
    </x:xf>
    <x:xf numFmtId="204" fontId="1" fillId="0" borderId="7" xfId="0" applyNumberFormat="1" applyFont="1" applyFill="1" applyBorder="1" applyAlignment="1">
      <x:alignment vertical="center"/>
    </x:xf>
    <x:xf numFmtId="204" fontId="1" fillId="0" borderId="8" xfId="0" applyNumberFormat="1" applyFont="1" applyFill="1" applyBorder="1" applyAlignment="1">
      <x:alignment vertical="center"/>
    </x:xf>
    <x:xf numFmtId="204" fontId="1" fillId="0" borderId="0" xfId="0" applyNumberFormat="1" applyFont="1" applyFill="1" applyBorder="1" applyAlignment="1">
      <x:alignment vertical="center"/>
    </x:xf>
    <x:xf numFmtId="204" fontId="6" fillId="4" borderId="3" xfId="0" applyNumberFormat="1" applyFont="1" applyFill="1" applyBorder="1" applyAlignment="1">
      <x:alignment horizontal="left" vertical="center"/>
    </x:xf>
    <x:xf numFmtId="204" fontId="6" fillId="4" borderId="4" xfId="0" applyNumberFormat="1" applyFont="1" applyFill="1" applyBorder="1" applyAlignment="1">
      <x:alignment horizontal="left" vertical="center"/>
    </x:xf>
    <x:xf numFmtId="204" fontId="6" fillId="5" borderId="11" xfId="0" applyNumberFormat="1" applyFont="1" applyFill="1" applyBorder="1" applyAlignment="1">
      <x:alignment horizontal="left" vertical="center"/>
    </x:xf>
    <x:xf numFmtId="204" fontId="6" fillId="5" borderId="12" xfId="0" applyNumberFormat="1" applyFont="1" applyFill="1" applyBorder="1" applyAlignment="1">
      <x:alignment horizontal="left" vertical="center"/>
    </x:xf>
    <x:xf numFmtId="204" fontId="6" fillId="7" borderId="14" xfId="0" applyNumberFormat="1" applyFont="1" applyFill="1" applyBorder="1" applyAlignment="1">
      <x:alignment horizontal="left" vertical="center"/>
    </x:xf>
    <x:xf numFmtId="204" fontId="6" fillId="7" borderId="15" xfId="0" applyNumberFormat="1" applyFont="1" applyFill="1" applyBorder="1" applyAlignment="1">
      <x:alignment horizontal="left" vertical="center"/>
    </x:xf>
    <x:xf numFmtId="203" fontId="1" fillId="0" borderId="7" xfId="0" applyNumberFormat="1" applyFont="1" applyFill="1" applyBorder="1" applyAlignment="1">
      <x:alignment vertical="center"/>
    </x:xf>
    <x:xf numFmtId="203" fontId="1" fillId="0" borderId="8" xfId="0" applyNumberFormat="1" applyFont="1" applyFill="1" applyBorder="1" applyAlignment="1">
      <x:alignment vertical="center"/>
    </x:xf>
    <x:xf numFmtId="205" fontId="1" fillId="0" borderId="7" xfId="0" applyNumberFormat="1" applyFont="1" applyFill="1" applyBorder="1" applyAlignment="1">
      <x:alignment vertical="center"/>
    </x:xf>
    <x:xf numFmtId="200" fontId="1" fillId="0" borderId="8" xfId="0" applyNumberFormat="1" applyFont="1" applyFill="1" applyBorder="1" applyAlignment="1">
      <x:alignment vertical="center"/>
    </x:xf>
    <x:xf numFmtId="204" fontId="1" fillId="6" borderId="6" xfId="0" applyNumberFormat="1" applyFont="1" applyFill="1" applyBorder="1" applyAlignment="1">
      <x:alignment vertical="center"/>
    </x:xf>
    <x:xf numFmtId="203" fontId="1" fillId="6" borderId="7" xfId="0" applyNumberFormat="1" applyFont="1" applyFill="1" applyBorder="1" applyAlignment="1">
      <x:alignment vertical="center"/>
    </x:xf>
    <x:xf numFmtId="203" fontId="1" fillId="6" borderId="8" xfId="0" applyNumberFormat="1" applyFont="1" applyFill="1" applyBorder="1" applyAlignment="1">
      <x:alignment vertical="center"/>
    </x:xf>
    <x:xf numFmtId="204" fontId="1" fillId="6" borderId="0" xfId="0" applyNumberFormat="1" applyFont="1" applyFill="1" applyBorder="1" applyAlignment="1">
      <x:alignment vertical="center"/>
    </x:xf>
    <x:xf numFmtId="204" fontId="6" fillId="6" borderId="3" xfId="0" applyNumberFormat="1" applyFont="1" applyFill="1" applyBorder="1" applyAlignment="1">
      <x:alignment horizontal="left" vertical="center"/>
    </x:xf>
    <x:xf numFmtId="204" fontId="6" fillId="6" borderId="4" xfId="0" applyNumberFormat="1" applyFont="1" applyFill="1" applyBorder="1" applyAlignment="1">
      <x:alignment horizontal="left" vertical="center"/>
    </x:xf>
    <x:xf numFmtId="204" fontId="1" fillId="6" borderId="7" xfId="0" applyNumberFormat="1" applyFont="1" applyFill="1" applyBorder="1" applyAlignment="1">
      <x:alignment vertical="center"/>
    </x:xf>
    <x:xf numFmtId="204" fontId="1" fillId="6" borderId="8" xfId="0" applyNumberFormat="1" applyFont="1" applyFill="1" applyBorder="1" applyAlignment="1">
      <x:alignment vertical="center"/>
    </x:xf>
    <x:xf numFmtId="204" fontId="6" fillId="6" borderId="11" xfId="0" applyNumberFormat="1" applyFont="1" applyFill="1" applyBorder="1" applyAlignment="1">
      <x:alignment horizontal="left" vertical="center"/>
    </x:xf>
    <x:xf numFmtId="204" fontId="6" fillId="6" borderId="12" xfId="0" applyNumberFormat="1" applyFont="1" applyFill="1" applyBorder="1" applyAlignment="1">
      <x:alignment horizontal="left" vertical="center"/>
    </x:xf>
    <x:xf numFmtId="204" fontId="6" fillId="6" borderId="14" xfId="0" applyNumberFormat="1" applyFont="1" applyFill="1" applyBorder="1" applyAlignment="1">
      <x:alignment horizontal="left" vertical="center"/>
    </x:xf>
    <x:xf numFmtId="204" fontId="6" fillId="6" borderId="15" xfId="0" applyNumberFormat="1" applyFont="1" applyFill="1" applyBorder="1" applyAlignment="1">
      <x:alignment horizontal="left" vertical="center"/>
    </x:xf>
    <x:xf numFmtId="205" fontId="1" fillId="6" borderId="7" xfId="0" applyNumberFormat="1" applyFont="1" applyFill="1" applyBorder="1" applyAlignment="1">
      <x:alignment vertical="center"/>
    </x:xf>
    <x:xf numFmtId="200" fontId="1" fillId="6" borderId="8" xfId="0" applyNumberFormat="1" applyFont="1" applyFill="1" applyBorder="1" applyAlignment="1">
      <x:alignment vertical="center"/>
    </x:xf>
    <x:xf numFmtId="204" fontId="11" fillId="6" borderId="6" xfId="0" applyNumberFormat="1" applyFont="1" applyFill="1" applyBorder="1" applyAlignment="1">
      <x:alignment vertical="center"/>
    </x:xf>
    <x:xf numFmtId="205" fontId="11" fillId="6" borderId="7" xfId="0" applyNumberFormat="1" applyFont="1" applyFill="1" applyBorder="1" applyAlignment="1">
      <x:alignment vertical="center"/>
    </x:xf>
    <x:xf numFmtId="204" fontId="11" fillId="6" borderId="7" xfId="0" applyNumberFormat="1" applyFont="1" applyFill="1" applyBorder="1" applyAlignment="1">
      <x:alignment vertical="center"/>
    </x:xf>
    <x:xf numFmtId="200" fontId="11" fillId="6" borderId="8" xfId="0" applyNumberFormat="1" applyFont="1" applyFill="1" applyBorder="1" applyAlignment="1">
      <x:alignment vertical="center"/>
    </x:xf>
    <x:xf numFmtId="204" fontId="12" fillId="0" borderId="6" xfId="0" applyNumberFormat="1" applyFont="1" applyFill="1" applyBorder="1" applyAlignment="1">
      <x:alignment vertical="center"/>
    </x:xf>
    <x:xf numFmtId="203" fontId="12" fillId="0" borderId="7" xfId="0" applyNumberFormat="1" applyFont="1" applyFill="1" applyBorder="1" applyAlignment="1">
      <x:alignment vertical="center"/>
    </x:xf>
    <x:xf numFmtId="203" fontId="12" fillId="0" borderId="8" xfId="0" applyNumberFormat="1" applyFont="1" applyFill="1" applyBorder="1" applyAlignment="1">
      <x:alignment vertical="center"/>
    </x:xf>
    <x:xf numFmtId="204" fontId="12" fillId="0" borderId="7" xfId="0" applyNumberFormat="1" applyFont="1" applyFill="1" applyBorder="1" applyAlignment="1">
      <x:alignment vertical="center"/>
    </x:xf>
    <x:xf numFmtId="204" fontId="12" fillId="0" borderId="8" xfId="0" applyNumberFormat="1" applyFont="1" applyFill="1" applyBorder="1" applyAlignment="1">
      <x:alignment vertical="center"/>
    </x:xf>
    <x:xf numFmtId="204" fontId="12" fillId="0" borderId="0" xfId="0" applyNumberFormat="1" applyFont="1" applyFill="1" applyBorder="1" applyAlignment="1">
      <x:alignment vertical="center"/>
    </x:xf>
    <x:xf numFmtId="204" fontId="13" fillId="5" borderId="11" xfId="0" applyNumberFormat="1" applyFont="1" applyFill="1" applyBorder="1" applyAlignment="1">
      <x:alignment horizontal="left" vertical="center"/>
    </x:xf>
    <x:xf numFmtId="204" fontId="13" fillId="7" borderId="14" xfId="0" applyNumberFormat="1" applyFont="1" applyFill="1" applyBorder="1" applyAlignment="1">
      <x:alignment horizontal="left" vertical="center"/>
    </x:xf>
    <x:xf numFmtId="205" fontId="12" fillId="0" borderId="7" xfId="0" applyNumberFormat="1" applyFont="1" applyFill="1" applyBorder="1" applyAlignment="1">
      <x:alignment vertical="center"/>
    </x:xf>
    <x:xf numFmtId="200" fontId="12" fillId="0" borderId="8" xfId="0" applyNumberFormat="1" applyFont="1" applyFill="1" applyBorder="1" applyAlignment="1">
      <x:alignment vertical="center"/>
    </x:xf>
    <x:xf numFmtId="204" fontId="8" fillId="6" borderId="3" xfId="0" applyNumberFormat="1" applyFont="1" applyFill="1" applyBorder="1" applyAlignment="1">
      <x:alignment horizontal="left" vertical="center"/>
    </x:xf>
    <x:xf numFmtId="204" fontId="8" fillId="6" borderId="4" xfId="0" applyNumberFormat="1" applyFont="1" applyFill="1" applyBorder="1" applyAlignment="1">
      <x:alignment horizontal="left" vertical="center"/>
    </x:xf>
    <x:xf numFmtId="204" fontId="8" fillId="6" borderId="11" xfId="0" applyNumberFormat="1" applyFont="1" applyFill="1" applyBorder="1" applyAlignment="1">
      <x:alignment horizontal="left" vertical="center"/>
    </x:xf>
    <x:xf numFmtId="204" fontId="8" fillId="6" borderId="12" xfId="0" applyNumberFormat="1" applyFont="1" applyFill="1" applyBorder="1" applyAlignment="1">
      <x:alignment horizontal="left" vertical="center"/>
    </x:xf>
    <x:xf numFmtId="204" fontId="8" fillId="6" borderId="14" xfId="0" applyNumberFormat="1" applyFont="1" applyFill="1" applyBorder="1" applyAlignment="1">
      <x:alignment horizontal="left" vertical="center"/>
    </x:xf>
    <x:xf numFmtId="204" fontId="8" fillId="6" borderId="15" xfId="0" applyNumberFormat="1" applyFont="1" applyFill="1" applyBorder="1" applyAlignment="1">
      <x:alignment horizontal="left" vertical="center"/>
    </x:xf>
    <x:xf numFmtId="204" fontId="8" fillId="6" borderId="6" xfId="0" applyNumberFormat="1" applyFont="1" applyFill="1" applyBorder="1" applyAlignment="1">
      <x:alignment vertical="center"/>
    </x:xf>
    <x:xf numFmtId="205" fontId="8" fillId="6" borderId="7" xfId="0" applyNumberFormat="1" applyFont="1" applyFill="1" applyBorder="1" applyAlignment="1">
      <x:alignment vertical="center"/>
    </x:xf>
    <x:xf numFmtId="204" fontId="8" fillId="6" borderId="7" xfId="0" applyNumberFormat="1" applyFont="1" applyFill="1" applyBorder="1" applyAlignment="1">
      <x:alignment vertical="center"/>
    </x:xf>
    <x:xf numFmtId="200" fontId="8" fillId="6" borderId="8" xfId="0" applyNumberFormat="1" applyFont="1" applyFill="1" applyBorder="1" applyAlignment="1">
      <x:alignment vertical="center"/>
    </x:xf>
    <x:xf numFmtId="0" fontId="1" fillId="8" borderId="6" xfId="0" applyNumberFormat="1" applyFont="1" applyFill="1" applyBorder="1" applyAlignment="1">
      <x:alignment vertical="center"/>
    </x:xf>
    <x:xf numFmtId="204" fontId="12" fillId="8" borderId="6" xfId="0" applyNumberFormat="1" applyFont="1" applyFill="1" applyBorder="1" applyAlignment="1">
      <x:alignment vertical="center"/>
    </x:xf>
    <x:xf numFmtId="204" fontId="11" fillId="8" borderId="6" xfId="0" applyNumberFormat="1" applyFont="1" applyFill="1" applyBorder="1" applyAlignment="1">
      <x:alignment vertical="center"/>
    </x:xf>
    <x:xf numFmtId="0" fontId="1" fillId="3" borderId="7" xfId="0" applyNumberFormat="1" applyFont="1" applyFill="1" applyBorder="1" applyAlignment="1">
      <x:alignment vertical="center"/>
    </x:xf>
    <x:xf numFmtId="204" fontId="12" fillId="3" borderId="7" xfId="0" applyNumberFormat="1" applyFont="1" applyFill="1" applyBorder="1" applyAlignment="1">
      <x:alignment vertical="center"/>
    </x:xf>
    <x:xf numFmtId="204" fontId="11" fillId="3" borderId="7" xfId="0" applyNumberFormat="1" applyFont="1" applyFill="1" applyBorder="1" applyAlignment="1">
      <x:alignment vertical="center"/>
    </x:xf>
    <x:xf numFmtId="0" fontId="14" fillId="0" borderId="0" xfId="0" applyNumberFormat="1" applyFont="1" applyFill="1" applyBorder="1" applyAlignment="1">
      <x:alignment vertical="center"/>
    </x:xf>
    <x:xf numFmtId="0" fontId="6" fillId="4" borderId="0" xfId="0" applyNumberFormat="1" applyFont="1" applyFill="1" applyBorder="1" applyAlignment="1">
      <x:alignment horizontal="center" vertical="center"/>
    </x:xf>
    <x:xf numFmtId="0" fontId="1" fillId="9" borderId="0" xfId="0" applyNumberFormat="1" applyFont="1" applyFill="1" applyBorder="1" applyAlignment="1">
      <x:alignment vertical="center"/>
    </x:xf>
    <x:xf numFmtId="0" fontId="2" fillId="9" borderId="0" xfId="0" applyNumberFormat="1" applyFont="1" applyFill="1" applyBorder="1" applyAlignment="1">
      <x:alignment vertical="center"/>
    </x:xf>
    <x:xf numFmtId="0" fontId="2" fillId="9" borderId="16" xfId="0" applyNumberFormat="1" applyFont="1" applyFill="1" applyBorder="1" applyAlignment="1">
      <x:alignment vertical="center"/>
    </x:xf>
    <x:xf numFmtId="0" fontId="2" fillId="9" borderId="17" xfId="0" applyNumberFormat="1" applyFont="1" applyFill="1" applyBorder="1" applyAlignment="1">
      <x:alignment vertical="center"/>
    </x:xf>
    <x:xf numFmtId="0" fontId="2" fillId="9" borderId="18" xfId="0" applyNumberFormat="1" applyFont="1" applyFill="1" applyBorder="1" applyAlignment="1">
      <x:alignment vertical="center"/>
    </x:xf>
    <x:xf numFmtId="0" fontId="2" fillId="9" borderId="19" xfId="0" applyNumberFormat="1" applyFont="1" applyFill="1" applyBorder="1" applyAlignment="1">
      <x:alignment vertical="center"/>
    </x:xf>
    <x:xf numFmtId="0" fontId="2" fillId="9" borderId="20" xfId="0" applyNumberFormat="1" applyFont="1" applyFill="1" applyBorder="1" applyAlignment="1">
      <x:alignment vertical="center"/>
    </x:xf>
    <x:xf numFmtId="0" fontId="2" fillId="9" borderId="21" xfId="0" applyNumberFormat="1" applyFont="1" applyFill="1" applyBorder="1" applyAlignment="1">
      <x:alignment vertical="center"/>
    </x:xf>
    <x:xf numFmtId="0" fontId="2" fillId="9" borderId="22" xfId="0" applyNumberFormat="1" applyFont="1" applyFill="1" applyBorder="1" applyAlignment="1">
      <x:alignment vertical="center"/>
    </x:xf>
    <x:xf numFmtId="0" fontId="2" fillId="9" borderId="23" xfId="0" applyNumberFormat="1" applyFont="1" applyFill="1" applyBorder="1" applyAlignment="1">
      <x:alignment vertical="center"/>
    </x:xf>
    <x:xf numFmtId="201" fontId="2" fillId="9" borderId="16" xfId="0" applyNumberFormat="1" applyFont="1" applyFill="1" applyBorder="1" applyAlignment="1">
      <x:alignment vertical="center"/>
    </x:xf>
    <x:xf numFmtId="201" fontId="2" fillId="9" borderId="17" xfId="0" applyNumberFormat="1" applyFont="1" applyFill="1" applyBorder="1" applyAlignment="1">
      <x:alignment vertical="center"/>
    </x:xf>
    <x:xf numFmtId="201" fontId="2" fillId="9" borderId="18" xfId="0" applyNumberFormat="1" applyFont="1" applyFill="1" applyBorder="1" applyAlignment="1">
      <x:alignment vertical="center"/>
    </x:xf>
    <x:xf numFmtId="201" fontId="2" fillId="9" borderId="19" xfId="0" applyNumberFormat="1" applyFont="1" applyFill="1" applyBorder="1" applyAlignment="1">
      <x:alignment vertical="center"/>
    </x:xf>
    <x:xf numFmtId="201" fontId="2" fillId="9" borderId="0" xfId="0" applyNumberFormat="1" applyFont="1" applyFill="1" applyBorder="1" applyAlignment="1">
      <x:alignment vertical="center"/>
    </x:xf>
    <x:xf numFmtId="201" fontId="2" fillId="9" borderId="20" xfId="0" applyNumberFormat="1" applyFont="1" applyFill="1" applyBorder="1" applyAlignment="1">
      <x:alignment vertical="center"/>
    </x:xf>
    <x:xf numFmtId="201" fontId="2" fillId="9" borderId="21" xfId="0" applyNumberFormat="1" applyFont="1" applyFill="1" applyBorder="1" applyAlignment="1">
      <x:alignment vertical="center"/>
    </x:xf>
    <x:xf numFmtId="201" fontId="2" fillId="9" borderId="22" xfId="0" applyNumberFormat="1" applyFont="1" applyFill="1" applyBorder="1" applyAlignment="1">
      <x:alignment vertical="center"/>
    </x:xf>
    <x:xf numFmtId="201" fontId="2" fillId="9" borderId="23" xfId="0" applyNumberFormat="1" applyFont="1" applyFill="1" applyBorder="1" applyAlignment="1">
      <x:alignment vertical="center"/>
    </x:xf>
    <x:xf numFmtId="201" fontId="2" fillId="9" borderId="16" xfId="0" applyNumberFormat="1" applyFont="1" applyFill="1" applyBorder="1" applyAlignment="1">
      <x:alignment horizontal="center" vertical="center"/>
    </x:xf>
    <x:xf numFmtId="201" fontId="2" fillId="9" borderId="17" xfId="0" applyNumberFormat="1" applyFont="1" applyFill="1" applyBorder="1" applyAlignment="1">
      <x:alignment horizontal="center" vertical="center"/>
    </x:xf>
    <x:xf numFmtId="201" fontId="2" fillId="9" borderId="18" xfId="0" applyNumberFormat="1" applyFont="1" applyFill="1" applyBorder="1" applyAlignment="1">
      <x:alignment horizontal="center" vertical="center"/>
    </x:xf>
    <x:xf numFmtId="201" fontId="2" fillId="9" borderId="19" xfId="0" applyNumberFormat="1" applyFont="1" applyFill="1" applyBorder="1" applyAlignment="1">
      <x:alignment horizontal="center" vertical="center"/>
    </x:xf>
    <x:xf numFmtId="201" fontId="2" fillId="9" borderId="0" xfId="0" applyNumberFormat="1" applyFont="1" applyFill="1" applyBorder="1" applyAlignment="1">
      <x:alignment horizontal="center" vertical="center"/>
    </x:xf>
    <x:xf numFmtId="201" fontId="2" fillId="9" borderId="20" xfId="0" applyNumberFormat="1" applyFont="1" applyFill="1" applyBorder="1" applyAlignment="1">
      <x:alignment horizontal="center" vertical="center"/>
    </x:xf>
    <x:xf numFmtId="201" fontId="2" fillId="9" borderId="21" xfId="0" applyNumberFormat="1" applyFont="1" applyFill="1" applyBorder="1" applyAlignment="1">
      <x:alignment horizontal="center" vertical="center"/>
    </x:xf>
    <x:xf numFmtId="201" fontId="2" fillId="9" borderId="22" xfId="0" applyNumberFormat="1" applyFont="1" applyFill="1" applyBorder="1" applyAlignment="1">
      <x:alignment horizontal="center" vertical="center"/>
    </x:xf>
    <x:xf numFmtId="201" fontId="2" fillId="9" borderId="23" xfId="0" applyNumberFormat="1" applyFont="1" applyFill="1" applyBorder="1" applyAlignment="1">
      <x:alignment horizontal="center" vertical="center"/>
    </x:xf>
    <x:xf numFmtId="0" fontId="1" fillId="8" borderId="0" xfId="0" applyNumberFormat="1" applyFont="1" applyFill="1" applyBorder="1" applyAlignment="1">
      <x:alignment vertical="center"/>
    </x:xf>
    <x:xf numFmtId="0" fontId="15" fillId="8" borderId="0" xfId="0" applyNumberFormat="1" applyFont="1" applyFill="1" applyBorder="1" applyAlignment="1">
      <x:alignment vertical="center"/>
    </x:xf>
    <x:xf numFmtId="0" fontId="15" fillId="8" borderId="0" xfId="0" applyNumberFormat="1" applyFont="1" applyFill="1" applyBorder="1" applyAlignment="1">
      <x:alignment horizontal="center" vertical="center"/>
    </x:xf>
    <x:xf numFmtId="205" fontId="15" fillId="8" borderId="0" xfId="0" applyNumberFormat="1" applyFont="1" applyFill="1" applyBorder="1" applyAlignment="1">
      <x:alignment horizontal="center" vertical="center"/>
    </x:xf>
    <x:xf numFmtId="0" fontId="5" fillId="8" borderId="0" xfId="0" applyNumberFormat="1" applyFont="1" applyFill="1" applyBorder="1" applyAlignment="1">
      <x:alignment vertical="center"/>
    </x:xf>
    <x:xf numFmtId="0" fontId="5" fillId="8" borderId="24" xfId="0" applyNumberFormat="1" applyFont="1" applyFill="1" applyBorder="1" applyAlignment="1">
      <x:alignment vertical="center"/>
    </x:xf>
    <x:xf numFmtId="0" fontId="5" fillId="8" borderId="25" xfId="0" applyNumberFormat="1" applyFont="1" applyFill="1" applyBorder="1" applyAlignment="1">
      <x:alignment vertical="center"/>
    </x:xf>
    <x:xf numFmtId="0" fontId="5" fillId="8" borderId="26" xfId="0" applyNumberFormat="1" applyFont="1" applyFill="1" applyBorder="1" applyAlignment="1">
      <x:alignment vertical="center"/>
    </x:xf>
    <x:xf numFmtId="0" fontId="5" fillId="8" borderId="27" xfId="0" applyNumberFormat="1" applyFont="1" applyFill="1" applyBorder="1" applyAlignment="1">
      <x:alignment vertical="center"/>
    </x:xf>
    <x:xf numFmtId="0" fontId="5" fillId="8" borderId="28" xfId="0" applyNumberFormat="1" applyFont="1" applyFill="1" applyBorder="1" applyAlignment="1">
      <x:alignment vertical="center"/>
    </x:xf>
    <x:xf numFmtId="0" fontId="5" fillId="8" borderId="29" xfId="0" applyNumberFormat="1" applyFont="1" applyFill="1" applyBorder="1" applyAlignment="1">
      <x:alignment vertical="center"/>
    </x:xf>
    <x:xf numFmtId="0" fontId="5" fillId="8" borderId="30" xfId="0" applyNumberFormat="1" applyFont="1" applyFill="1" applyBorder="1" applyAlignment="1">
      <x:alignment vertical="center"/>
    </x:xf>
    <x:xf numFmtId="0" fontId="5" fillId="8" borderId="31" xfId="0" applyNumberFormat="1" applyFont="1" applyFill="1" applyBorder="1" applyAlignment="1">
      <x:alignment vertical="center"/>
    </x:xf>
    <x:xf numFmtId="0" fontId="5" fillId="8" borderId="24" xfId="0" applyNumberFormat="1" applyFont="1" applyFill="1" applyBorder="1" applyAlignment="1">
      <x:alignment vertical="center" wrapText="1"/>
    </x:xf>
    <x:xf numFmtId="0" fontId="5" fillId="8" borderId="25" xfId="0" applyNumberFormat="1" applyFont="1" applyFill="1" applyBorder="1" applyAlignment="1">
      <x:alignment vertical="center" wrapText="1"/>
    </x:xf>
    <x:xf numFmtId="0" fontId="5" fillId="8" borderId="26" xfId="0" applyNumberFormat="1" applyFont="1" applyFill="1" applyBorder="1" applyAlignment="1">
      <x:alignment vertical="center" wrapText="1"/>
    </x:xf>
    <x:xf numFmtId="0" fontId="5" fillId="8" borderId="27"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5" fillId="8" borderId="28" xfId="0" applyNumberFormat="1" applyFont="1" applyFill="1" applyBorder="1" applyAlignment="1">
      <x:alignment vertical="center" wrapText="1"/>
    </x:xf>
    <x:xf numFmtId="0" fontId="5" fillId="8" borderId="29" xfId="0" applyNumberFormat="1" applyFont="1" applyFill="1" applyBorder="1" applyAlignment="1">
      <x:alignment vertical="center" wrapText="1"/>
    </x:xf>
    <x:xf numFmtId="0" fontId="5" fillId="8" borderId="30" xfId="0" applyNumberFormat="1" applyFont="1" applyFill="1" applyBorder="1" applyAlignment="1">
      <x:alignment vertical="center" wrapText="1"/>
    </x:xf>
    <x:xf numFmtId="0" fontId="5" fillId="8" borderId="31" xfId="0" applyNumberFormat="1" applyFont="1" applyFill="1" applyBorder="1" applyAlignment="1">
      <x:alignment vertical="center" wrapText="1"/>
    </x:xf>
    <x:xf numFmtId="0" fontId="5" fillId="3" borderId="32" xfId="0" applyNumberFormat="1" applyFont="1" applyFill="1" applyBorder="1" applyAlignment="1">
      <x:alignment vertical="center"/>
    </x:xf>
    <x:xf numFmtId="0" fontId="5" fillId="3" borderId="33" xfId="0" applyNumberFormat="1" applyFont="1" applyFill="1" applyBorder="1" applyAlignment="1">
      <x:alignment vertical="center"/>
    </x:xf>
    <x:xf numFmtId="0" fontId="5" fillId="3" borderId="34" xfId="0" applyNumberFormat="1" applyFont="1" applyFill="1" applyBorder="1" applyAlignment="1">
      <x:alignment vertical="center"/>
    </x:xf>
    <x:xf numFmtId="0" fontId="5" fillId="3" borderId="35" xfId="0" applyNumberFormat="1" applyFont="1" applyFill="1" applyBorder="1" applyAlignment="1">
      <x:alignment vertical="center"/>
    </x:xf>
    <x:xf numFmtId="0" fontId="5" fillId="3" borderId="36" xfId="0" applyNumberFormat="1" applyFont="1" applyFill="1" applyBorder="1" applyAlignment="1">
      <x:alignment vertical="center"/>
    </x:xf>
    <x:xf numFmtId="0" fontId="5" fillId="3" borderId="37" xfId="0" applyNumberFormat="1" applyFont="1" applyFill="1" applyBorder="1" applyAlignment="1">
      <x:alignment vertical="center"/>
    </x:xf>
    <x:xf numFmtId="0" fontId="5" fillId="3" borderId="38" xfId="0" applyNumberFormat="1" applyFont="1" applyFill="1" applyBorder="1" applyAlignment="1">
      <x:alignment vertical="center"/>
    </x:xf>
    <x:xf numFmtId="0" fontId="5" fillId="3" borderId="39" xfId="0" applyNumberFormat="1" applyFont="1" applyFill="1" applyBorder="1" applyAlignment="1">
      <x:alignment vertical="center"/>
    </x:xf>
    <x:xf numFmtId="0" fontId="5" fillId="3" borderId="32" xfId="0" applyNumberFormat="1" applyFont="1" applyFill="1" applyBorder="1" applyAlignment="1">
      <x:alignment vertical="center" wrapText="1"/>
    </x:xf>
    <x:xf numFmtId="0" fontId="5" fillId="3" borderId="33" xfId="0" applyNumberFormat="1" applyFont="1" applyFill="1" applyBorder="1" applyAlignment="1">
      <x:alignment vertical="center" wrapText="1"/>
    </x:xf>
    <x:xf numFmtId="0" fontId="5" fillId="3" borderId="34" xfId="0" applyNumberFormat="1" applyFont="1" applyFill="1" applyBorder="1" applyAlignment="1">
      <x:alignment vertical="center" wrapText="1"/>
    </x:xf>
    <x:xf numFmtId="0" fontId="5" fillId="3" borderId="35"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3" borderId="36" xfId="0" applyNumberFormat="1" applyFont="1" applyFill="1" applyBorder="1" applyAlignment="1">
      <x:alignment vertical="center" wrapText="1"/>
    </x:xf>
    <x:xf numFmtId="0" fontId="5" fillId="3" borderId="37" xfId="0" applyNumberFormat="1" applyFont="1" applyFill="1" applyBorder="1" applyAlignment="1">
      <x:alignment vertical="center" wrapText="1"/>
    </x:xf>
    <x:xf numFmtId="0" fontId="5" fillId="3" borderId="38" xfId="0" applyNumberFormat="1" applyFont="1" applyFill="1" applyBorder="1" applyAlignment="1">
      <x:alignment vertical="center" wrapText="1"/>
    </x:xf>
    <x:xf numFmtId="0" fontId="5" fillId="3" borderId="39" xfId="0" applyNumberFormat="1" applyFont="1" applyFill="1" applyBorder="1" applyAlignment="1">
      <x:alignment vertical="center" wrapText="1"/>
    </x:xf>
    <x:xf numFmtId="201" fontId="1" fillId="0" borderId="6" xfId="0" applyNumberFormat="1" applyFont="1" applyFill="1" applyBorder="1" applyAlignment="1">
      <x:alignment vertical="center"/>
    </x:xf>
    <x:xf numFmtId="201" fontId="1" fillId="0" borderId="7" xfId="0" applyNumberFormat="1" applyFont="1" applyFill="1" applyBorder="1" applyAlignment="1">
      <x:alignment vertical="center"/>
    </x:xf>
    <x:xf numFmtId="201" fontId="1" fillId="0" borderId="8" xfId="0" applyNumberFormat="1" applyFont="1" applyFill="1" applyBorder="1" applyAlignment="1">
      <x:alignment vertical="center"/>
    </x:xf>
    <x:xf numFmtId="205" fontId="1" fillId="0" borderId="6" xfId="0" applyNumberFormat="1" applyFont="1" applyFill="1" applyBorder="1" applyAlignment="1">
      <x:alignment vertical="center"/>
    </x:xf>
    <x:xf numFmtId="205" fontId="1" fillId="0" borderId="8" xfId="0" applyNumberFormat="1" applyFont="1" applyFill="1" applyBorder="1" applyAlignment="1">
      <x:alignment vertical="center"/>
    </x:xf>
    <x:xf numFmtId="201" fontId="1" fillId="3" borderId="7" xfId="0" applyNumberFormat="1" applyFont="1" applyFill="1" applyBorder="1" applyAlignment="1">
      <x:alignment vertical="center"/>
    </x:xf>
    <x:xf numFmtId="205" fontId="1" fillId="3" borderId="7" xfId="0" applyNumberFormat="1" applyFont="1" applyFill="1" applyBorder="1" applyAlignment="1">
      <x:alignment vertical="center"/>
    </x:xf>
    <x:xf numFmtId="0" fontId="11" fillId="3" borderId="7" xfId="0" applyNumberFormat="1" applyFont="1" applyFill="1" applyBorder="1" applyAlignment="1">
      <x:alignment vertical="center"/>
    </x:xf>
    <x:xf numFmtId="201" fontId="11" fillId="3" borderId="7" xfId="0" applyNumberFormat="1" applyFont="1" applyFill="1" applyBorder="1" applyAlignment="1">
      <x:alignment vertical="center"/>
    </x:xf>
    <x:xf numFmtId="205" fontId="11" fillId="3" borderId="7" xfId="0" applyNumberFormat="1" applyFont="1" applyFill="1" applyBorder="1" applyAlignment="1">
      <x:alignment vertical="center"/>
    </x:xf>
    <x:xf numFmtId="0" fontId="1" fillId="0" borderId="16" xfId="0" applyNumberFormat="1" applyFont="1" applyFill="1" applyBorder="1" applyAlignment="1">
      <x:alignment vertical="center" wrapText="1"/>
    </x:xf>
    <x:xf numFmtId="0" fontId="1" fillId="0" borderId="17" xfId="0" applyNumberFormat="1" applyFont="1" applyFill="1" applyBorder="1" applyAlignment="1">
      <x:alignment vertical="center" wrapText="1"/>
    </x:xf>
    <x:xf numFmtId="0" fontId="1" fillId="0" borderId="18" xfId="0" applyNumberFormat="1" applyFont="1" applyFill="1" applyBorder="1" applyAlignment="1">
      <x:alignment vertical="center" wrapText="1"/>
    </x:xf>
    <x:xf numFmtId="0" fontId="1" fillId="0" borderId="19" xfId="0" applyNumberFormat="1" applyFont="1" applyFill="1" applyBorder="1" applyAlignment="1">
      <x:alignment vertical="center" wrapText="1"/>
    </x:xf>
    <x:xf numFmtId="0" fontId="1" fillId="0" borderId="20" xfId="0" applyNumberFormat="1" applyFont="1" applyFill="1" applyBorder="1" applyAlignment="1">
      <x:alignment vertical="center" wrapText="1"/>
    </x:xf>
    <x:xf numFmtId="0" fontId="1" fillId="0" borderId="21" xfId="0" applyNumberFormat="1" applyFont="1" applyFill="1" applyBorder="1" applyAlignment="1">
      <x:alignment vertical="center" wrapText="1"/>
    </x:xf>
    <x:xf numFmtId="0" fontId="1" fillId="0" borderId="22" xfId="0" applyNumberFormat="1" applyFont="1" applyFill="1" applyBorder="1" applyAlignment="1">
      <x:alignment vertical="center" wrapText="1"/>
    </x:xf>
    <x:xf numFmtId="0" fontId="1" fillId="0" borderId="23" xfId="0" applyNumberFormat="1" applyFont="1" applyFill="1" applyBorder="1" applyAlignment="1">
      <x:alignment vertical="center" wrapText="1"/>
    </x:xf>
    <x:xf numFmtId="0" fontId="16" fillId="0" borderId="16" xfId="0" applyNumberFormat="1" applyFont="1" applyFill="1" applyBorder="1" applyAlignment="1">
      <x:alignment vertical="center" wrapText="1"/>
    </x:xf>
    <x:xf numFmtId="0" fontId="16" fillId="0" borderId="17" xfId="0" applyNumberFormat="1" applyFont="1" applyFill="1" applyBorder="1" applyAlignment="1">
      <x:alignment vertical="center" wrapText="1"/>
    </x:xf>
    <x:xf numFmtId="0" fontId="16" fillId="0" borderId="18" xfId="0" applyNumberFormat="1" applyFont="1" applyFill="1" applyBorder="1" applyAlignment="1">
      <x:alignment vertical="center" wrapText="1"/>
    </x:xf>
    <x:xf numFmtId="0" fontId="11" fillId="0" borderId="19" xfId="0" applyNumberFormat="1" applyFont="1" applyFill="1" applyBorder="1" applyAlignment="1">
      <x:alignment vertical="center" wrapText="1"/>
    </x:xf>
    <x:xf numFmtId="0" fontId="11" fillId="0" borderId="0" xfId="0" applyNumberFormat="1" applyFont="1" applyFill="1" applyBorder="1" applyAlignment="1">
      <x:alignment vertical="center" wrapText="1"/>
    </x:xf>
    <x:xf numFmtId="0" fontId="11" fillId="0" borderId="20" xfId="0" applyNumberFormat="1" applyFont="1" applyFill="1" applyBorder="1" applyAlignment="1">
      <x:alignment vertical="center" wrapText="1"/>
    </x:xf>
    <x:xf numFmtId="0" fontId="1" fillId="8" borderId="19" xfId="0" applyNumberFormat="1" applyFont="1" applyFill="1" applyBorder="1" applyAlignment="1">
      <x:alignment vertical="center" wrapText="1"/>
    </x:xf>
    <x:xf numFmtId="0" fontId="1" fillId="8" borderId="0" xfId="0" applyNumberFormat="1" applyFont="1" applyFill="1" applyBorder="1" applyAlignment="1">
      <x:alignment vertical="center" wrapText="1"/>
    </x:xf>
    <x:xf numFmtId="0" fontId="1" fillId="8" borderId="20" xfId="0" applyNumberFormat="1" applyFont="1" applyFill="1" applyBorder="1" applyAlignment="1">
      <x:alignment vertical="center" wrapText="1"/>
    </x:xf>
    <x:xf numFmtId="0" fontId="1" fillId="3" borderId="19"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20" xfId="0" applyNumberFormat="1" applyFont="1" applyFill="1" applyBorder="1" applyAlignment="1">
      <x:alignment vertical="center" wrapText="1"/>
    </x:xf>
    <x:xf numFmtId="0" fontId="1" fillId="3" borderId="21" xfId="0" applyNumberFormat="1" applyFont="1" applyFill="1" applyBorder="1" applyAlignment="1">
      <x:alignment vertical="center" wrapText="1"/>
    </x:xf>
    <x:xf numFmtId="0" fontId="1" fillId="3" borderId="22" xfId="0" applyNumberFormat="1" applyFont="1" applyFill="1" applyBorder="1" applyAlignment="1">
      <x:alignment vertical="center" wrapText="1"/>
    </x:xf>
    <x:xf numFmtId="0" fontId="1" fillId="3" borderId="23" xfId="0" applyNumberFormat="1" applyFont="1" applyFill="1" applyBorder="1" applyAlignment="1">
      <x:alignment vertical="center" wrapText="1"/>
    </x:xf>
    <x:xf numFmtId="0" fontId="17" fillId="0" borderId="0" xfId="0" applyNumberFormat="1" applyFont="1" applyFill="1" applyBorder="1" applyAlignment="1">
      <x:alignment vertical="center"/>
    </x:xf>
    <x:xf numFmtId="0" fontId="17" fillId="0" borderId="0" xfId="0" applyNumberFormat="1" applyFont="1" applyFill="1" applyBorder="1"/>
    <x:xf numFmtId="206" fontId="1" fillId="0" borderId="6" xfId="0" applyNumberFormat="1" applyFont="1" applyFill="1" applyBorder="1" applyAlignment="1">
      <x:alignment vertical="center"/>
    </x:xf>
    <x:xf numFmtId="206" fontId="1" fillId="0" borderId="7" xfId="0" applyNumberFormat="1" applyFont="1" applyFill="1" applyBorder="1" applyAlignment="1">
      <x:alignment vertical="center"/>
    </x:xf>
    <x:xf numFmtId="206" fontId="1" fillId="0" borderId="8" xfId="0" applyNumberFormat="1" applyFont="1" applyFill="1" applyBorder="1" applyAlignment="1">
      <x:alignment vertical="center"/>
    </x:xf>
    <x:xf numFmtId="206" fontId="1" fillId="2" borderId="6" xfId="0" applyNumberFormat="1" applyFont="1" applyFill="1" applyBorder="1" applyAlignment="1">
      <x:alignment vertical="center"/>
    </x:xf>
    <x:xf numFmtId="206" fontId="4" fillId="2" borderId="6" xfId="0" applyNumberFormat="1" applyFont="1" applyFill="1" applyBorder="1" applyAlignment="1">
      <x:alignment vertical="center"/>
    </x:xf>
    <x:xf numFmtId="206" fontId="12" fillId="0" borderId="7" xfId="0" applyNumberFormat="1" applyFont="1" applyFill="1" applyBorder="1" applyAlignment="1">
      <x:alignment vertical="center"/>
    </x:xf>
    <x:xf numFmtId="200" fontId="12" fillId="0" borderId="7" xfId="0" applyNumberFormat="1" applyFont="1" applyFill="1" applyBorder="1" applyAlignment="1">
      <x:alignment vertical="center"/>
    </x:xf>
    <x:xf numFmtId="206" fontId="12" fillId="0" borderId="8" xfId="0" applyNumberFormat="1" applyFont="1" applyFill="1" applyBorder="1" applyAlignment="1">
      <x:alignment vertical="center"/>
    </x:xf>
    <x:xf numFmtId="201" fontId="12" fillId="0" borderId="8" xfId="0" applyNumberFormat="1" applyFont="1" applyFill="1" applyBorder="1" applyAlignment="1">
      <x:alignment vertical="center"/>
    </x:xf>
    <x:xf numFmtId="0" fontId="1" fillId="6" borderId="40" xfId="0" applyNumberFormat="1" applyFont="1" applyFill="1" applyBorder="1" applyAlignment="1">
      <x:alignment vertical="center"/>
    </x:xf>
    <x:xf numFmtId="0" fontId="13" fillId="6" borderId="40" xfId="0" applyNumberFormat="1" applyFont="1" applyFill="1" applyBorder="1" applyAlignment="1">
      <x:alignment vertical="center"/>
    </x:xf>
    <x:xf numFmtId="203" fontId="13" fillId="6" borderId="40" xfId="0" applyNumberFormat="1" applyFont="1" applyFill="1" applyBorder="1" applyAlignment="1">
      <x:alignment vertical="center"/>
    </x:xf>
    <x:xf numFmtId="201" fontId="13" fillId="6" borderId="40" xfId="0" applyNumberFormat="1" applyFont="1" applyFill="1" applyBorder="1" applyAlignment="1">
      <x:alignment vertical="center"/>
    </x:xf>
    <x:xf numFmtId="200" fontId="13" fillId="6" borderId="40" xfId="0" applyNumberFormat="1" applyFont="1" applyFill="1" applyBorder="1" applyAlignment="1">
      <x:alignment vertical="center"/>
    </x:xf>
    <x:xf numFmtId="0" fontId="3" fillId="8" borderId="0" xfId="0" applyNumberFormat="1" applyFont="1" applyFill="1" applyBorder="1" applyAlignment="1">
      <x:alignment vertical="center"/>
    </x:xf>
    <x:xf numFmtId="0" fontId="3" fillId="8" borderId="41" xfId="0" applyNumberFormat="1" applyFont="1" applyFill="1" applyBorder="1" applyAlignment="1">
      <x:alignment vertical="center"/>
    </x:xf>
    <x:xf numFmtId="0" fontId="3" fillId="8" borderId="42" xfId="0" applyNumberFormat="1" applyFont="1" applyFill="1" applyBorder="1" applyAlignment="1">
      <x:alignment vertical="center"/>
    </x:xf>
    <x:xf numFmtId="0" fontId="3" fillId="8" borderId="43" xfId="0" applyNumberFormat="1" applyFont="1" applyFill="1" applyBorder="1" applyAlignment="1">
      <x:alignment vertical="center"/>
    </x:xf>
    <x:xf numFmtId="0" fontId="3" fillId="8" borderId="41" xfId="0" applyNumberFormat="1" applyFont="1" applyFill="1" applyBorder="1" applyAlignment="1">
      <x:alignment vertical="center" wrapText="1"/>
    </x:xf>
    <x:xf numFmtId="0" fontId="3" fillId="8" borderId="42" xfId="0" applyNumberFormat="1" applyFont="1" applyFill="1" applyBorder="1" applyAlignment="1">
      <x:alignment vertical="center" wrapText="1"/>
    </x:xf>
    <x:xf numFmtId="0" fontId="3" fillId="8" borderId="43" xfId="0" applyNumberFormat="1" applyFont="1" applyFill="1" applyBorder="1" applyAlignment="1">
      <x:alignment vertical="center" wrapText="1"/>
    </x:xf>
    <x:xf numFmtId="0" fontId="8" fillId="8" borderId="0" xfId="0" applyNumberFormat="1" applyFont="1" applyFill="1" applyBorder="1" applyAlignment="1">
      <x:alignment vertical="center"/>
    </x:xf>
    <x:xf numFmtId="0" fontId="8" fillId="8" borderId="24" xfId="0" applyNumberFormat="1" applyFont="1" applyFill="1" applyBorder="1" applyAlignment="1">
      <x:alignment vertical="center"/>
    </x:xf>
    <x:xf numFmtId="0" fontId="8" fillId="8" borderId="25" xfId="0" applyNumberFormat="1" applyFont="1" applyFill="1" applyBorder="1" applyAlignment="1">
      <x:alignment vertical="center"/>
    </x:xf>
    <x:xf numFmtId="0" fontId="8" fillId="8" borderId="26" xfId="0" applyNumberFormat="1" applyFont="1" applyFill="1" applyBorder="1" applyAlignment="1">
      <x:alignment vertical="center"/>
    </x:xf>
    <x:xf numFmtId="0" fontId="8" fillId="8" borderId="27" xfId="0" applyNumberFormat="1" applyFont="1" applyFill="1" applyBorder="1" applyAlignment="1">
      <x:alignment vertical="center"/>
    </x:xf>
    <x:xf numFmtId="0" fontId="8" fillId="8" borderId="28" xfId="0" applyNumberFormat="1" applyFont="1" applyFill="1" applyBorder="1" applyAlignment="1">
      <x:alignment vertical="center"/>
    </x:xf>
    <x:xf numFmtId="0" fontId="8" fillId="8" borderId="29" xfId="0" applyNumberFormat="1" applyFont="1" applyFill="1" applyBorder="1" applyAlignment="1">
      <x:alignment vertical="center"/>
    </x:xf>
    <x:xf numFmtId="0" fontId="8" fillId="8" borderId="30" xfId="0" applyNumberFormat="1" applyFont="1" applyFill="1" applyBorder="1" applyAlignment="1">
      <x:alignment vertical="center"/>
    </x:xf>
    <x:xf numFmtId="0" fontId="8" fillId="8" borderId="31" xfId="0" applyNumberFormat="1" applyFont="1" applyFill="1" applyBorder="1" applyAlignment="1">
      <x:alignment vertical="center"/>
    </x:xf>
    <x:xf numFmtId="0" fontId="8" fillId="8" borderId="24" xfId="0" applyNumberFormat="1" applyFont="1" applyFill="1" applyBorder="1" applyAlignment="1">
      <x:alignment vertical="center" wrapText="1"/>
    </x:xf>
    <x:xf numFmtId="0" fontId="8" fillId="8" borderId="25" xfId="0" applyNumberFormat="1" applyFont="1" applyFill="1" applyBorder="1" applyAlignment="1">
      <x:alignment vertical="center" wrapText="1"/>
    </x:xf>
    <x:xf numFmtId="0" fontId="8" fillId="8" borderId="26" xfId="0" applyNumberFormat="1" applyFont="1" applyFill="1" applyBorder="1" applyAlignment="1">
      <x:alignment vertical="center" wrapText="1"/>
    </x:xf>
    <x:xf numFmtId="0" fontId="8" fillId="8" borderId="27" xfId="0" applyNumberFormat="1" applyFont="1" applyFill="1" applyBorder="1" applyAlignment="1">
      <x:alignment vertical="center" wrapText="1"/>
    </x:xf>
    <x:xf numFmtId="0" fontId="8" fillId="8" borderId="0" xfId="0" applyNumberFormat="1" applyFont="1" applyFill="1" applyBorder="1" applyAlignment="1">
      <x:alignment vertical="center" wrapText="1"/>
    </x:xf>
    <x:xf numFmtId="0" fontId="8" fillId="8" borderId="28" xfId="0" applyNumberFormat="1" applyFont="1" applyFill="1" applyBorder="1" applyAlignment="1">
      <x:alignment vertical="center" wrapText="1"/>
    </x:xf>
    <x:xf numFmtId="0" fontId="8" fillId="8" borderId="29" xfId="0" applyNumberFormat="1" applyFont="1" applyFill="1" applyBorder="1" applyAlignment="1">
      <x:alignment vertical="center" wrapText="1"/>
    </x:xf>
    <x:xf numFmtId="0" fontId="8" fillId="8" borderId="30" xfId="0" applyNumberFormat="1" applyFont="1" applyFill="1" applyBorder="1" applyAlignment="1">
      <x:alignment vertical="center" wrapText="1"/>
    </x:xf>
    <x:xf numFmtId="0" fontId="8" fillId="8" borderId="31"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203" fontId="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3" fontId="1" fillId="0" borderId="6" xfId="0" applyNumberFormat="1" applyFont="1" applyFill="1" applyBorder="1" applyAlignment="1">
      <x:alignment vertical="center"/>
    </x:xf>
    <x:xf numFmtId="0" fontId="1" fillId="3" borderId="32" xfId="0" applyNumberFormat="1" applyFont="1" applyFill="1" applyBorder="1" applyAlignment="1">
      <x:alignment vertical="center"/>
    </x:xf>
    <x:xf numFmtId="0" fontId="1" fillId="3" borderId="33" xfId="0" applyNumberFormat="1" applyFont="1" applyFill="1" applyBorder="1" applyAlignment="1">
      <x:alignment vertical="center"/>
    </x:xf>
    <x:xf numFmtId="0" fontId="1" fillId="3" borderId="34" xfId="0" applyNumberFormat="1" applyFont="1" applyFill="1" applyBorder="1" applyAlignment="1">
      <x:alignment vertical="center"/>
    </x:xf>
    <x:xf numFmtId="0" fontId="1" fillId="3" borderId="35" xfId="0" applyNumberFormat="1" applyFont="1" applyFill="1" applyBorder="1" applyAlignment="1">
      <x:alignment vertical="center"/>
    </x:xf>
    <x:xf numFmtId="0" fontId="1" fillId="3" borderId="36" xfId="0" applyNumberFormat="1" applyFont="1" applyFill="1" applyBorder="1" applyAlignment="1">
      <x:alignment vertical="center"/>
    </x:xf>
    <x:xf numFmtId="0" fontId="1" fillId="3" borderId="37" xfId="0" applyNumberFormat="1" applyFont="1" applyFill="1" applyBorder="1" applyAlignment="1">
      <x:alignment vertical="center"/>
    </x:xf>
    <x:xf numFmtId="0" fontId="1" fillId="3" borderId="38" xfId="0" applyNumberFormat="1" applyFont="1" applyFill="1" applyBorder="1" applyAlignment="1">
      <x:alignment vertical="center"/>
    </x:xf>
    <x:xf numFmtId="0" fontId="1" fillId="3" borderId="39" xfId="0" applyNumberFormat="1" applyFont="1" applyFill="1" applyBorder="1" applyAlignment="1">
      <x:alignment vertical="center"/>
    </x:xf>
    <x:xf numFmtId="0" fontId="1" fillId="3" borderId="32" xfId="0" applyNumberFormat="1" applyFont="1" applyFill="1" applyBorder="1" applyAlignment="1">
      <x:alignment vertical="center" wrapText="1"/>
    </x:xf>
    <x:xf numFmtId="0" fontId="1" fillId="3" borderId="33" xfId="0" applyNumberFormat="1" applyFont="1" applyFill="1" applyBorder="1" applyAlignment="1">
      <x:alignment vertical="center" wrapText="1"/>
    </x:xf>
    <x:xf numFmtId="0" fontId="1" fillId="3" borderId="34" xfId="0" applyNumberFormat="1" applyFont="1" applyFill="1" applyBorder="1" applyAlignment="1">
      <x:alignment vertical="center" wrapText="1"/>
    </x:xf>
    <x:xf numFmtId="0" fontId="1" fillId="3" borderId="35" xfId="0" applyNumberFormat="1" applyFont="1" applyFill="1" applyBorder="1" applyAlignment="1">
      <x:alignment vertical="center" wrapText="1"/>
    </x:xf>
    <x:xf numFmtId="0" fontId="1" fillId="3" borderId="36" xfId="0" applyNumberFormat="1" applyFont="1" applyFill="1" applyBorder="1" applyAlignment="1">
      <x:alignment vertical="center" wrapText="1"/>
    </x:xf>
    <x:xf numFmtId="0" fontId="1" fillId="3" borderId="37" xfId="0" applyNumberFormat="1" applyFont="1" applyFill="1" applyBorder="1" applyAlignment="1">
      <x:alignment vertical="center" wrapText="1"/>
    </x:xf>
    <x:xf numFmtId="0" fontId="1" fillId="3" borderId="38" xfId="0" applyNumberFormat="1" applyFont="1" applyFill="1" applyBorder="1" applyAlignment="1">
      <x:alignment vertical="center" wrapText="1"/>
    </x:xf>
    <x:xf numFmtId="0" fontId="1" fillId="3" borderId="39" xfId="0" applyNumberFormat="1" applyFont="1" applyFill="1" applyBorder="1" applyAlignment="1">
      <x:alignment vertical="center" wrapText="1"/>
    </x:xf>
    <x:xf numFmtId="203" fontId="7" fillId="5" borderId="5" xfId="0" applyNumberFormat="1" applyFont="1" applyFill="1" applyBorder="1" applyAlignment="1">
      <x:alignment horizontal="center" vertical="center" wrapText="1"/>
    </x:xf>
    <x:xf numFmtId="201" fontId="1" fillId="0" borderId="0" xfId="0" applyNumberFormat="1" applyFont="1" applyFill="1" applyBorder="1" applyAlignment="1">
      <x:alignment vertical="center"/>
    </x:xf>
    <x:xf numFmtId="0" fontId="1" fillId="8" borderId="24" xfId="0" applyNumberFormat="1" applyFont="1" applyFill="1" applyBorder="1" applyAlignment="1">
      <x:alignment vertical="center"/>
    </x:xf>
    <x:xf numFmtId="0" fontId="1" fillId="8" borderId="25" xfId="0" applyNumberFormat="1" applyFont="1" applyFill="1" applyBorder="1" applyAlignment="1">
      <x:alignment vertical="center"/>
    </x:xf>
    <x:xf numFmtId="0" fontId="1" fillId="8" borderId="26" xfId="0" applyNumberFormat="1" applyFont="1" applyFill="1" applyBorder="1" applyAlignment="1">
      <x:alignment vertical="center"/>
    </x:xf>
    <x:xf numFmtId="0" fontId="1" fillId="8" borderId="27" xfId="0" applyNumberFormat="1" applyFont="1" applyFill="1" applyBorder="1" applyAlignment="1">
      <x:alignment vertical="center"/>
    </x:xf>
    <x:xf numFmtId="0" fontId="1" fillId="8" borderId="28" xfId="0" applyNumberFormat="1" applyFont="1" applyFill="1" applyBorder="1" applyAlignment="1">
      <x:alignment vertical="center"/>
    </x:xf>
    <x:xf numFmtId="0" fontId="1" fillId="8" borderId="29" xfId="0" applyNumberFormat="1" applyFont="1" applyFill="1" applyBorder="1" applyAlignment="1">
      <x:alignment vertical="center"/>
    </x:xf>
    <x:xf numFmtId="0" fontId="1" fillId="8" borderId="30" xfId="0" applyNumberFormat="1" applyFont="1" applyFill="1" applyBorder="1" applyAlignment="1">
      <x:alignment vertical="center"/>
    </x:xf>
    <x:xf numFmtId="0" fontId="1" fillId="8" borderId="31" xfId="0" applyNumberFormat="1" applyFont="1" applyFill="1" applyBorder="1" applyAlignment="1">
      <x:alignment vertical="center"/>
    </x:xf>
    <x:xf numFmtId="0" fontId="1" fillId="8" borderId="24" xfId="0" applyNumberFormat="1" applyFont="1" applyFill="1" applyBorder="1" applyAlignment="1">
      <x:alignment vertical="center" wrapText="1"/>
    </x:xf>
    <x:xf numFmtId="0" fontId="1" fillId="8" borderId="25" xfId="0" applyNumberFormat="1" applyFont="1" applyFill="1" applyBorder="1" applyAlignment="1">
      <x:alignment vertical="center" wrapText="1"/>
    </x:xf>
    <x:xf numFmtId="0" fontId="1" fillId="8" borderId="26" xfId="0" applyNumberFormat="1" applyFont="1" applyFill="1" applyBorder="1" applyAlignment="1">
      <x:alignment vertical="center" wrapText="1"/>
    </x:xf>
    <x:xf numFmtId="0" fontId="1" fillId="8" borderId="27" xfId="0" applyNumberFormat="1" applyFont="1" applyFill="1" applyBorder="1" applyAlignment="1">
      <x:alignment vertical="center" wrapText="1"/>
    </x:xf>
    <x:xf numFmtId="0" fontId="1" fillId="8" borderId="28" xfId="0" applyNumberFormat="1" applyFont="1" applyFill="1" applyBorder="1" applyAlignment="1">
      <x:alignment vertical="center" wrapText="1"/>
    </x:xf>
    <x:xf numFmtId="0" fontId="1" fillId="8" borderId="29" xfId="0" applyNumberFormat="1" applyFont="1" applyFill="1" applyBorder="1" applyAlignment="1">
      <x:alignment vertical="center" wrapText="1"/>
    </x:xf>
    <x:xf numFmtId="0" fontId="1" fillId="8" borderId="30" xfId="0" applyNumberFormat="1" applyFont="1" applyFill="1" applyBorder="1" applyAlignment="1">
      <x:alignment vertical="center" wrapText="1"/>
    </x:xf>
    <x:xf numFmtId="0" fontId="1" fillId="8" borderId="31" xfId="0" applyNumberFormat="1" applyFont="1" applyFill="1" applyBorder="1" applyAlignment="1">
      <x:alignment vertical="center" wrapText="1"/>
    </x:xf>
    <x:xf numFmtId="204" fontId="1" fillId="3" borderId="7" xfId="0" applyNumberFormat="1" applyFont="1" applyFill="1" applyBorder="1" applyAlignment="1">
      <x:alignment vertical="center"/>
    </x:xf>
    <x:xf numFmtId="0" fontId="1" fillId="8" borderId="8" xfId="0" applyNumberFormat="1" applyFont="1" applyFill="1" applyBorder="1" applyAlignment="1">
      <x:alignment vertical="center"/>
    </x:xf>
    <x:xf numFmtId="204" fontId="1" fillId="8" borderId="8" xfId="0" applyNumberFormat="1" applyFont="1" applyFill="1" applyBorder="1" applyAlignment="1">
      <x:alignment vertical="center"/>
    </x:xf>
    <x:xf numFmtId="205" fontId="1" fillId="8" borderId="8" xfId="0" applyNumberFormat="1" applyFont="1" applyFill="1" applyBorder="1" applyAlignment="1">
      <x:alignment vertical="center"/>
    </x:xf>
    <x:xf numFmtId="0" fontId="1" fillId="0" borderId="6" xfId="0" applyNumberFormat="1" applyFont="1" applyFill="1" applyBorder="1" applyAlignment="1">
      <x:alignment horizontal="center" vertical="center"/>
    </x:xf>
    <x:xf numFmtId="0" fontId="1" fillId="0" borderId="7" xfId="0" applyNumberFormat="1" applyFont="1" applyFill="1" applyBorder="1" applyAlignment="1">
      <x:alignment horizontal="center" vertical="center"/>
    </x:xf>
    <x:xf numFmtId="0" fontId="1" fillId="0" borderId="8" xfId="0" applyNumberFormat="1" applyFont="1" applyFill="1" applyBorder="1" applyAlignment="1">
      <x:alignment horizontal="center" vertical="center"/>
    </x:xf>
    <x:xf numFmtId="207" fontId="1" fillId="0" borderId="6" xfId="0" applyNumberFormat="1" applyFont="1" applyFill="1" applyBorder="1" applyAlignment="1">
      <x:alignment horizontal="center" vertical="center"/>
    </x:xf>
    <x:xf numFmtId="207" fontId="1" fillId="0" borderId="7" xfId="0" applyNumberFormat="1" applyFont="1" applyFill="1" applyBorder="1" applyAlignment="1">
      <x:alignment horizontal="center" vertical="center"/>
    </x:xf>
    <x:xf numFmtId="207" fontId="1" fillId="0" borderId="8" xfId="0" applyNumberFormat="1" applyFont="1" applyFill="1" applyBorder="1" applyAlignment="1">
      <x:alignment horizontal="center" vertical="center"/>
    </x:xf>
    <x:xf numFmtId="207" fontId="1" fillId="0" borderId="6" xfId="0" applyNumberFormat="1" applyFont="1" applyFill="1" applyBorder="1" applyAlignment="1">
      <x:alignment horizontal="center" vertical="center" wrapText="1"/>
    </x:xf>
    <x:xf numFmtId="207" fontId="1" fillId="0" borderId="7" xfId="0" applyNumberFormat="1" applyFont="1" applyFill="1" applyBorder="1" applyAlignment="1">
      <x:alignment horizontal="center" vertical="center" wrapText="1"/>
    </x:xf>
    <x:xf numFmtId="207" fontId="1" fillId="0" borderId="8" xfId="0" applyNumberFormat="1" applyFont="1" applyFill="1" applyBorder="1" applyAlignment="1">
      <x:alignment horizontal="center" vertical="center" wrapText="1"/>
    </x:xf>
    <x:xf numFmtId="201" fontId="1" fillId="0" borderId="6" xfId="0" applyNumberFormat="1" applyFont="1" applyFill="1" applyBorder="1" applyAlignment="1">
      <x:alignment horizontal="center" vertical="center" wrapText="1"/>
    </x:xf>
    <x:xf numFmtId="208" fontId="1" fillId="0" borderId="7" xfId="0" applyNumberFormat="1" applyFont="1" applyFill="1" applyBorder="1" applyAlignment="1">
      <x:alignment horizontal="center" vertical="center" wrapText="1"/>
    </x:xf>
    <x:xf numFmtId="200" fontId="1" fillId="0" borderId="7" xfId="0" applyNumberFormat="1" applyFont="1" applyFill="1" applyBorder="1" applyAlignment="1">
      <x:alignment horizontal="center" vertical="center" wrapText="1"/>
    </x:xf>
    <x:xf numFmtId="0" fontId="1" fillId="6" borderId="16" xfId="0" applyNumberFormat="1" applyFont="1" applyFill="1" applyBorder="1" applyAlignment="1">
      <x:alignment vertical="center"/>
    </x:xf>
    <x:xf numFmtId="0" fontId="1" fillId="6" borderId="17" xfId="0" applyNumberFormat="1" applyFont="1" applyFill="1" applyBorder="1" applyAlignment="1">
      <x:alignment vertical="center"/>
    </x:xf>
    <x:xf numFmtId="0" fontId="1" fillId="6" borderId="18" xfId="0" applyNumberFormat="1" applyFont="1" applyFill="1" applyBorder="1" applyAlignment="1">
      <x:alignment vertical="center"/>
    </x:xf>
    <x:xf numFmtId="0" fontId="1" fillId="6" borderId="19" xfId="0" applyNumberFormat="1" applyFont="1" applyFill="1" applyBorder="1" applyAlignment="1">
      <x:alignment vertical="center"/>
    </x:xf>
    <x:xf numFmtId="0" fontId="1" fillId="6" borderId="20" xfId="0" applyNumberFormat="1" applyFont="1" applyFill="1" applyBorder="1" applyAlignment="1">
      <x:alignment vertical="center"/>
    </x:xf>
    <x:xf numFmtId="0" fontId="1" fillId="6" borderId="21" xfId="0" applyNumberFormat="1" applyFont="1" applyFill="1" applyBorder="1" applyAlignment="1">
      <x:alignment vertical="center"/>
    </x:xf>
    <x:xf numFmtId="0" fontId="1" fillId="6" borderId="22" xfId="0" applyNumberFormat="1" applyFont="1" applyFill="1" applyBorder="1" applyAlignment="1">
      <x:alignment vertical="center"/>
    </x:xf>
    <x:xf numFmtId="0" fontId="1" fillId="6" borderId="23" xfId="0" applyNumberFormat="1" applyFont="1" applyFill="1" applyBorder="1" applyAlignment="1">
      <x:alignment vertical="center"/>
    </x:xf>
    <x:xf numFmtId="0" fontId="1" fillId="6" borderId="16" xfId="0" applyNumberFormat="1" applyFont="1" applyFill="1" applyBorder="1" applyAlignment="1">
      <x:alignment vertical="center" wrapText="1"/>
    </x:xf>
    <x:xf numFmtId="0" fontId="1" fillId="6" borderId="17" xfId="0" applyNumberFormat="1" applyFont="1" applyFill="1" applyBorder="1" applyAlignment="1">
      <x:alignment vertical="center" wrapText="1"/>
    </x:xf>
    <x:xf numFmtId="0" fontId="1" fillId="6" borderId="18" xfId="0" applyNumberFormat="1" applyFont="1" applyFill="1" applyBorder="1" applyAlignment="1">
      <x:alignment vertical="center" wrapText="1"/>
    </x:xf>
    <x:xf numFmtId="0" fontId="1" fillId="6" borderId="19"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20" xfId="0" applyNumberFormat="1" applyFont="1" applyFill="1" applyBorder="1" applyAlignment="1">
      <x:alignment vertical="center" wrapText="1"/>
    </x:xf>
    <x:xf numFmtId="0" fontId="1" fillId="6" borderId="21" xfId="0" applyNumberFormat="1" applyFont="1" applyFill="1" applyBorder="1" applyAlignment="1">
      <x:alignment vertical="center" wrapText="1"/>
    </x:xf>
    <x:xf numFmtId="0" fontId="1" fillId="6" borderId="22" xfId="0" applyNumberFormat="1" applyFont="1" applyFill="1" applyBorder="1" applyAlignment="1">
      <x:alignment vertical="center" wrapText="1"/>
    </x:xf>
    <x:xf numFmtId="0" fontId="1" fillId="6" borderId="23" xfId="0" applyNumberFormat="1" applyFont="1" applyFill="1" applyBorder="1" applyAlignment="1">
      <x:alignment vertical="center" wrapText="1"/>
    </x:xf>
    <x:xf numFmtId="0" fontId="2" fillId="0" borderId="0" xfId="0" applyNumberFormat="1" applyFont="1" applyFill="1" applyBorder="1" applyAlignment="1">
      <x:alignment horizontal="lef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d7b1c78f534d58" /><Relationship Type="http://schemas.openxmlformats.org/officeDocument/2006/relationships/theme" Target="/xl/theme/theme1.xml" Id="Rdb63f057b9574720" /><Relationship Type="http://schemas.openxmlformats.org/officeDocument/2006/relationships/sharedStrings" Target="/xl/sharedStrings.xml" Id="R5317e59cc28e42b4" /><Relationship Type="http://schemas.openxmlformats.org/officeDocument/2006/relationships/worksheet" Target="/xl/worksheets/sheet1.xml" Id="Re7dd1b01bae447fc" /><Relationship Type="http://schemas.openxmlformats.org/officeDocument/2006/relationships/worksheet" Target="/xl/worksheets/sheet2.xml" Id="Rc269d36f112e4dfa" /><Relationship Type="http://schemas.openxmlformats.org/officeDocument/2006/relationships/worksheet" Target="/xl/worksheets/sheet3.xml" Id="R7484f98f267847a1" /><Relationship Type="http://schemas.openxmlformats.org/officeDocument/2006/relationships/worksheet" Target="/xl/worksheets/sheet4.xml" Id="Rb96ae09b9c9645ab" /><Relationship Type="http://schemas.openxmlformats.org/officeDocument/2006/relationships/worksheet" Target="/xl/worksheets/sheet5.xml" Id="R3369def8da0741f1" /><Relationship Type="http://schemas.openxmlformats.org/officeDocument/2006/relationships/worksheet" Target="/xl/worksheets/sheet6.xml" Id="Rc87ada9415fd4bdf" /></Relationships>
</file>

<file path=xl/drawings/_rels/drawing1.xml.rels>&#65279;<?xml version="1.0" encoding="utf-8"?><Relationships xmlns="http://schemas.openxmlformats.org/package/2006/relationships"><Relationship Type="http://schemas.openxmlformats.org/officeDocument/2006/relationships/chart" Target="/xl/drawings/charts/chart1.xml" Id="Rddef0db03c04437a" /><Relationship Type="http://schemas.openxmlformats.org/officeDocument/2006/relationships/chart" Target="/xl/drawings/charts/chart2.xml" Id="R50dd5f4ff20f469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Steady-state revenue by scenario (INR cr)</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ReLoop</c:v>
          </c:tx>
          <c:spPr>
            <a:solidFill xmlns:a="http://schemas.openxmlformats.org/drawingml/2006/main">
              <a:srgbClr val="F59E0B"/>
            </a:solidFill>
          </c:spPr>
          <c:cat>
            <c:strRef>
              <c:f>'Dashboard'!$C$44:$C$46</c:f>
              <c:strCache>
                <c:ptCount val="0"/>
              </c:strCache>
            </c:strRef>
          </c:cat>
          <c:val>
            <c:numRef>
              <c:f>'Dashboard'!$D$44:$D$46</c:f>
              <c:numCache>
                <c:formatCode>#,##0</c:formatCode>
                <c:ptCount val="0"/>
              </c:numCache>
            </c:numRef>
          </c:val>
        </c:ser>
        <c:ser>
          <c:idx val="1"/>
          <c:order val="1"/>
          <c:tx>
            <c:v>Source</c:v>
          </c:tx>
          <c:spPr>
            <a:solidFill xmlns:a="http://schemas.openxmlformats.org/drawingml/2006/main">
              <a:srgbClr val="64165B"/>
            </a:solidFill>
          </c:spPr>
          <c:cat>
            <c:strRef>
              <c:f>'Dashboard'!$C$44:$C$46</c:f>
              <c:strCache>
                <c:ptCount val="0"/>
              </c:strCache>
            </c:strRef>
          </c:cat>
          <c:val>
            <c:numRef>
              <c:f>'Dashboard'!$E$44:$E$46</c:f>
              <c:numCache>
                <c:formatCode>#,##0</c:formatCode>
                <c:ptCount val="0"/>
              </c:numCache>
            </c:numRef>
          </c:val>
        </c:ser>
        <c:ser>
          <c:idx val="2"/>
          <c:order val="2"/>
          <c:tx>
            <c:v>Total</c:v>
          </c:tx>
          <c:spPr>
            <a:solidFill xmlns:a="http://schemas.openxmlformats.org/drawingml/2006/main">
              <a:srgbClr val="17365D"/>
            </a:solidFill>
          </c:spPr>
          <c:cat>
            <c:strRef>
              <c:f>'Dashboard'!$C$44:$C$46</c:f>
              <c:strCache>
                <c:ptCount val="0"/>
              </c:strCache>
            </c:strRef>
          </c:cat>
          <c:val>
            <c:numRef>
              <c:f>'Dashboard'!$F$44:$F$46</c:f>
              <c:numCache>
                <c:formatCode>#,##0</c:formatCode>
                <c:ptCount val="0"/>
              </c:numCache>
            </c:numRef>
          </c:val>
        </c:ser>
        <c:ser>
          <c:idx val="3"/>
          <c:order val="3"/>
          <c:tx>
            <c:v>1% target</c:v>
          </c:tx>
          <c:spPr>
            <a:solidFill xmlns:a="http://schemas.openxmlformats.org/drawingml/2006/main">
              <a:srgbClr val="4B5563"/>
            </a:solidFill>
          </c:spPr>
          <c:cat>
            <c:strRef>
              <c:f>'Dashboard'!$C$44:$C$46</c:f>
              <c:strCache>
                <c:ptCount val="0"/>
              </c:strCache>
            </c:strRef>
          </c:cat>
          <c:val>
            <c:numRef>
              <c:f>'Dashboard'!$G$44:$G$46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Selected-case monthly revenue ramp (INR cr)</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Revenue</c:v>
          </c:tx>
          <c:spPr>
            <a:ln xmlns:a="http://schemas.openxmlformats.org/drawingml/2006/main" w="28575">
              <a:solidFill>
                <a:srgbClr val="64165B"/>
              </a:solidFill>
              <a:prstDash val="solid"/>
            </a:ln>
          </c:spPr>
          <c:marker>
            <c:symbol val="none"/>
          </c:marker>
          <c:cat>
            <c:strRef>
              <c:f>'Dashboard'!$I$44:$I$56</c:f>
              <c:strCache>
                <c:ptCount val="0"/>
              </c:strCache>
            </c:strRef>
          </c:cat>
          <c:val>
            <c:numRef>
              <c:f>'Dashboard'!$J$44:$J$56</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xdr:col>
      <xdr:colOff>0</xdr:colOff>
      <xdr:row>17</xdr:row>
      <xdr:rowOff>0</xdr:rowOff>
    </xdr:from>
    <xdr:to>
      <xdr:col>10</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ef0db03c04437a"/>
        </a:graphicData>
      </a:graphic>
    </xdr:graphicFrame>
    <xdr:clientData/>
  </xdr:twoCellAnchor>
  <xdr:twoCellAnchor>
    <xdr:from>
      <xdr:col>10</xdr:col>
      <xdr:colOff>0</xdr:colOff>
      <xdr:row>17</xdr:row>
      <xdr:rowOff>0</xdr:rowOff>
    </xdr:from>
    <xdr:to>
      <xdr:col>18</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dd5f4ff20f469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0a8e122ee934870" /></Relationships>
</file>

<file path=xl/worksheets/sheet1.xml><?xml version="1.0" encoding="utf-8"?>
<x:worksheet xmlns:x="http://schemas.openxmlformats.org/spreadsheetml/2006/main">
  <x:sheetPr>
    <x:tabColor rgb="FF4A0E45"/>
  </x:sheetPr>
  <x:sheetViews>
    <x:sheetView showGridLines="0" workbookViewId="0"/>
  </x:sheetViews>
  <x:sheetFormatPr defaultRowHeight="15"/>
  <x:cols>
    <x:col min="1" max="1" width="3" hidden="0" customWidth="1"/>
    <x:col min="2" max="2" width="3" hidden="0" customWidth="1"/>
    <x:col min="3" max="3" width="17"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s>
  <x:sheetData>
    <x:row r="1">
      <x:c r="A1" s="2"/>
      <x:c r="B1" s="2"/>
      <x:c r="C1" s="2"/>
      <x:c r="D1" s="2"/>
      <x:c r="E1" s="2"/>
      <x:c r="F1" s="2"/>
      <x:c r="G1" s="2"/>
      <x:c r="H1" s="2"/>
      <x:c r="I1" s="2"/>
      <x:c r="J1" s="2"/>
      <x:c r="K1" s="2"/>
      <x:c r="L1" s="2"/>
      <x:c r="M1" s="2"/>
      <x:c r="N1" s="2"/>
      <x:c r="O1" s="2"/>
      <x:c r="P1" s="2"/>
      <x:c r="Q1" s="2"/>
      <x:c r="R1" s="2"/>
    </x:row>
    <x:row r="2" ht="25" customHeight="1">
      <x:c r="A2" s="2"/>
      <x:c r="B2" s="2"/>
      <x:c r="C2" s="386" t="str">
        <x:v>Meesho ReLoop and Source revenue model</x:v>
      </x:c>
      <x:c r="D2" s="3" t="str">
        <x:v>Meesho ReLoop and Source revenue model</x:v>
      </x:c>
      <x:c r="E2" s="3" t="str">
        <x:v>Meesho ReLoop and Source revenue model</x:v>
      </x:c>
      <x:c r="F2" s="3" t="str">
        <x:v>Meesho ReLoop and Source revenue model</x:v>
      </x:c>
      <x:c r="G2" s="3" t="str">
        <x:v>Meesho ReLoop and Source revenue model</x:v>
      </x:c>
      <x:c r="H2" s="3" t="str">
        <x:v>Meesho ReLoop and Source revenue model</x:v>
      </x:c>
      <x:c r="I2" s="3" t="str">
        <x:v>Meesho ReLoop and Source revenue model</x:v>
      </x:c>
      <x:c r="J2" s="3" t="str">
        <x:v>Meesho ReLoop and Source revenue model</x:v>
      </x:c>
      <x:c r="K2" s="3" t="str">
        <x:v>Meesho ReLoop and Source revenue model</x:v>
      </x:c>
      <x:c r="L2" s="3" t="str">
        <x:v>Meesho ReLoop and Source revenue model</x:v>
      </x:c>
      <x:c r="M2" s="3" t="str">
        <x:v>Meesho ReLoop and Source revenue model</x:v>
      </x:c>
      <x:c r="N2" s="3" t="str">
        <x:v>Meesho ReLoop and Source revenue model</x:v>
      </x:c>
      <x:c r="O2" s="3" t="str">
        <x:v>Meesho ReLoop and Source revenue model</x:v>
      </x:c>
      <x:c r="P2" s="3" t="str">
        <x:v>Meesho ReLoop and Source revenue model</x:v>
      </x:c>
      <x:c r="Q2" s="3" t="str">
        <x:v>Meesho ReLoop and Source revenue model</x:v>
      </x:c>
      <x:c r="R2" s="3" t="str">
        <x:v>Meesho ReLoop and Source revenue model</x:v>
      </x:c>
    </x:row>
    <x:row r="3">
      <x:c r="A3" s="2"/>
      <x:c r="B3" s="2"/>
      <x:c r="C3" s="172" t="str">
        <x:v>Tests whether a buyer-funded recovery marketplace and supplier-funded sourcing marketplace can reach approximately 1% of NMV.</x:v>
      </x:c>
      <x:c r="D3" s="172" t="str">
        <x:v>Tests whether a buyer-funded recovery marketplace and supplier-funded sourcing marketplace can reach approximately 1% of NMV.</x:v>
      </x:c>
      <x:c r="E3" s="172" t="str">
        <x:v>Tests whether a buyer-funded recovery marketplace and supplier-funded sourcing marketplace can reach approximately 1% of NMV.</x:v>
      </x:c>
      <x:c r="F3" s="172" t="str">
        <x:v>Tests whether a buyer-funded recovery marketplace and supplier-funded sourcing marketplace can reach approximately 1% of NMV.</x:v>
      </x:c>
      <x:c r="G3" s="172" t="str">
        <x:v>Tests whether a buyer-funded recovery marketplace and supplier-funded sourcing marketplace can reach approximately 1% of NMV.</x:v>
      </x:c>
      <x:c r="H3" s="172" t="str">
        <x:v>Tests whether a buyer-funded recovery marketplace and supplier-funded sourcing marketplace can reach approximately 1% of NMV.</x:v>
      </x:c>
      <x:c r="I3" s="172" t="str">
        <x:v>Tests whether a buyer-funded recovery marketplace and supplier-funded sourcing marketplace can reach approximately 1% of NMV.</x:v>
      </x:c>
      <x:c r="J3" s="172" t="str">
        <x:v>Tests whether a buyer-funded recovery marketplace and supplier-funded sourcing marketplace can reach approximately 1% of NMV.</x:v>
      </x:c>
      <x:c r="K3" s="172" t="str">
        <x:v>Tests whether a buyer-funded recovery marketplace and supplier-funded sourcing marketplace can reach approximately 1% of NMV.</x:v>
      </x:c>
      <x:c r="L3" s="172" t="str">
        <x:v>Tests whether a buyer-funded recovery marketplace and supplier-funded sourcing marketplace can reach approximately 1% of NMV.</x:v>
      </x:c>
      <x:c r="M3" s="172" t="str">
        <x:v>Tests whether a buyer-funded recovery marketplace and supplier-funded sourcing marketplace can reach approximately 1% of NMV.</x:v>
      </x:c>
      <x:c r="N3" s="172" t="str">
        <x:v>Tests whether a buyer-funded recovery marketplace and supplier-funded sourcing marketplace can reach approximately 1% of NMV.</x:v>
      </x:c>
      <x:c r="O3" s="172" t="str">
        <x:v>Tests whether a buyer-funded recovery marketplace and supplier-funded sourcing marketplace can reach approximately 1% of NMV.</x:v>
      </x:c>
      <x:c r="P3" s="172" t="str">
        <x:v>Tests whether a buyer-funded recovery marketplace and supplier-funded sourcing marketplace can reach approximately 1% of NMV.</x:v>
      </x:c>
      <x:c r="Q3" s="172" t="str">
        <x:v>Tests whether a buyer-funded recovery marketplace and supplier-funded sourcing marketplace can reach approximately 1% of NMV.</x:v>
      </x:c>
      <x:c r="R3" s="172" t="str">
        <x:v>Tests whether a buyer-funded recovery marketplace and supplier-funded sourcing marketplace can reach approximately 1% of NMV.</x:v>
      </x:c>
    </x:row>
    <x:row r="4">
      <x:c r="A4" s="2"/>
      <x:c r="B4" s="2"/>
      <x:c r="C4" s="2"/>
      <x:c r="D4" s="2"/>
      <x:c r="E4" s="2"/>
      <x:c r="F4" s="2"/>
      <x:c r="G4" s="2"/>
      <x:c r="H4" s="2"/>
      <x:c r="I4" s="2"/>
      <x:c r="J4" s="2"/>
      <x:c r="K4" s="2"/>
      <x:c r="L4" s="2"/>
      <x:c r="M4" s="2"/>
      <x:c r="N4" s="2"/>
      <x:c r="O4" s="2"/>
      <x:c r="P4" s="2"/>
      <x:c r="Q4" s="2"/>
      <x:c r="R4" s="2"/>
    </x:row>
    <x:row r="5">
      <x:c r="A5" s="2"/>
      <x:c r="B5" s="2"/>
      <x:c r="C5" s="95" t="str">
        <x:v>Case selected:</x:v>
      </x:c>
      <x:c r="D5" s="98" t="str">
        <x:f>'Assumptions'!E4</x:f>
        <x:v>Base</x:v>
      </x:c>
      <x:c r="E5" s="2"/>
      <x:c r="F5" s="4" t="str">
        <x:v>Reference NMV is FY26 actual. Change the case or inputs on Assumptions; all outputs update automatically.</x:v>
      </x:c>
      <x:c r="G5" s="4" t="str">
        <x:v>Reference NMV is FY26 actual. Change the case or inputs on Assumptions; all outputs update automatically.</x:v>
      </x:c>
      <x:c r="H5" s="4" t="str">
        <x:v>Reference NMV is FY26 actual. Change the case or inputs on Assumptions; all outputs update automatically.</x:v>
      </x:c>
      <x:c r="I5" s="4" t="str">
        <x:v>Reference NMV is FY26 actual. Change the case or inputs on Assumptions; all outputs update automatically.</x:v>
      </x:c>
      <x:c r="J5" s="4" t="str">
        <x:v>Reference NMV is FY26 actual. Change the case or inputs on Assumptions; all outputs update automatically.</x:v>
      </x:c>
      <x:c r="K5" s="4" t="str">
        <x:v>Reference NMV is FY26 actual. Change the case or inputs on Assumptions; all outputs update automatically.</x:v>
      </x:c>
      <x:c r="L5" s="4" t="str">
        <x:v>Reference NMV is FY26 actual. Change the case or inputs on Assumptions; all outputs update automatically.</x:v>
      </x:c>
      <x:c r="M5" s="4" t="str">
        <x:v>Reference NMV is FY26 actual. Change the case or inputs on Assumptions; all outputs update automatically.</x:v>
      </x:c>
      <x:c r="N5" s="4" t="str">
        <x:v>Reference NMV is FY26 actual. Change the case or inputs on Assumptions; all outputs update automatically.</x:v>
      </x:c>
      <x:c r="O5" s="4" t="str">
        <x:v>Reference NMV is FY26 actual. Change the case or inputs on Assumptions; all outputs update automatically.</x:v>
      </x:c>
      <x:c r="P5" s="4" t="str">
        <x:v>Reference NMV is FY26 actual. Change the case or inputs on Assumptions; all outputs update automatically.</x:v>
      </x:c>
      <x:c r="Q5" s="4" t="str">
        <x:v>Reference NMV is FY26 actual. Change the case or inputs on Assumptions; all outputs update automatically.</x:v>
      </x:c>
      <x:c r="R5" s="4" t="str">
        <x:v>Reference NMV is FY26 actual. Change the case or inputs on Assumptions; all outputs update automatically.</x:v>
      </x:c>
    </x:row>
    <x:row r="6">
      <x:c r="A6" s="2"/>
      <x:c r="B6" s="2"/>
      <x:c r="C6" s="2"/>
      <x:c r="D6" s="2"/>
      <x:c r="E6" s="2"/>
      <x:c r="F6" s="2"/>
      <x:c r="G6" s="2"/>
      <x:c r="H6" s="2"/>
      <x:c r="I6" s="2"/>
      <x:c r="J6" s="2"/>
      <x:c r="K6" s="2"/>
      <x:c r="L6" s="2"/>
      <x:c r="M6" s="2"/>
      <x:c r="N6" s="2"/>
      <x:c r="O6" s="2"/>
      <x:c r="P6" s="2"/>
      <x:c r="Q6" s="2"/>
      <x:c r="R6" s="2"/>
    </x:row>
    <x:row r="7">
      <x:c r="A7" s="2"/>
      <x:c r="B7" s="2"/>
      <x:c r="C7" s="173" t="str">
        <x:v>Reference NMV</x:v>
      </x:c>
      <x:c r="D7" s="173" t="str">
        <x:v>Reference NMV</x:v>
      </x:c>
      <x:c r="E7" s="173" t="str">
        <x:v>Reference NMV</x:v>
      </x:c>
      <x:c r="F7" s="173" t="str">
        <x:v>Reference NMV</x:v>
      </x:c>
      <x:c r="G7" s="173" t="str">
        <x:v>1% revenue target</x:v>
      </x:c>
      <x:c r="H7" s="173" t="str">
        <x:v>1% revenue target</x:v>
      </x:c>
      <x:c r="I7" s="173" t="str">
        <x:v>1% revenue target</x:v>
      </x:c>
      <x:c r="J7" s="173" t="str">
        <x:v>1% revenue target</x:v>
      </x:c>
      <x:c r="K7" s="173" t="str">
        <x:v>Year 1 revenue</x:v>
      </x:c>
      <x:c r="L7" s="173" t="str">
        <x:v>Year 1 revenue</x:v>
      </x:c>
      <x:c r="M7" s="173" t="str">
        <x:v>Year 1 revenue</x:v>
      </x:c>
      <x:c r="N7" s="173" t="str">
        <x:v>Year 1 revenue</x:v>
      </x:c>
      <x:c r="O7" s="173" t="str">
        <x:v>Steady-state revenue</x:v>
      </x:c>
      <x:c r="P7" s="173" t="str">
        <x:v>Steady-state revenue</x:v>
      </x:c>
      <x:c r="Q7" s="173" t="str">
        <x:v>Steady-state revenue</x:v>
      </x:c>
      <x:c r="R7" s="173" t="str">
        <x:v>Steady-state revenue</x:v>
      </x:c>
    </x:row>
    <x:row r="8" ht="24" customHeight="1">
      <x:c r="A8" s="2"/>
      <x:c r="B8" s="2"/>
      <x:c r="C8" s="193" t="n">
        <x:f>'Monthly Model'!Q8</x:f>
        <x:v>41560</x:v>
      </x:c>
      <x:c r="D8" s="194"/>
      <x:c r="E8" s="194"/>
      <x:c r="F8" s="195"/>
      <x:c r="G8" s="193" t="n">
        <x:f>'Assumptions'!E8*'Assumptions'!E9</x:f>
        <x:v>415.6</x:v>
      </x:c>
      <x:c r="H8" s="194"/>
      <x:c r="I8" s="194"/>
      <x:c r="J8" s="195"/>
      <x:c r="K8" s="193" t="n">
        <x:f>'Monthly Model'!Q35</x:f>
        <x:v>92.318916375</x:v>
      </x:c>
      <x:c r="L8" s="194"/>
      <x:c r="M8" s="194"/>
      <x:c r="N8" s="195"/>
      <x:c r="O8" s="193" t="n">
        <x:f>'Monthly Model'!R35</x:f>
        <x:v>405.16064750000004</x:v>
      </x:c>
      <x:c r="P8" s="194"/>
      <x:c r="Q8" s="194"/>
      <x:c r="R8" s="195"/>
    </x:row>
    <x:row r="9" ht="24" customHeight="1">
      <x:c r="A9" s="2"/>
      <x:c r="B9" s="2"/>
      <x:c r="C9" s="196"/>
      <x:c r="D9" s="197"/>
      <x:c r="E9" s="197"/>
      <x:c r="F9" s="198"/>
      <x:c r="G9" s="196"/>
      <x:c r="H9" s="197"/>
      <x:c r="I9" s="197"/>
      <x:c r="J9" s="198"/>
      <x:c r="K9" s="196"/>
      <x:c r="L9" s="197"/>
      <x:c r="M9" s="197"/>
      <x:c r="N9" s="198"/>
      <x:c r="O9" s="196"/>
      <x:c r="P9" s="197"/>
      <x:c r="Q9" s="197"/>
      <x:c r="R9" s="198"/>
    </x:row>
    <x:row r="10" ht="24" customHeight="1">
      <x:c r="A10" s="2"/>
      <x:c r="B10" s="2"/>
      <x:c r="C10" s="199"/>
      <x:c r="D10" s="200"/>
      <x:c r="E10" s="200"/>
      <x:c r="F10" s="201"/>
      <x:c r="G10" s="199"/>
      <x:c r="H10" s="200"/>
      <x:c r="I10" s="200"/>
      <x:c r="J10" s="201"/>
      <x:c r="K10" s="199"/>
      <x:c r="L10" s="200"/>
      <x:c r="M10" s="200"/>
      <x:c r="N10" s="201"/>
      <x:c r="O10" s="199"/>
      <x:c r="P10" s="200"/>
      <x:c r="Q10" s="200"/>
      <x:c r="R10" s="201"/>
    </x:row>
    <x:row r="11">
      <x:c r="A11" s="2"/>
      <x:c r="B11" s="2"/>
      <x:c r="C11" s="204" t="str">
        <x:v>FY26 actual</x:v>
      </x:c>
      <x:c r="D11" s="204" t="str">
        <x:v>FY26 actual</x:v>
      </x:c>
      <x:c r="E11" s="204" t="str">
        <x:v>FY26 actual</x:v>
      </x:c>
      <x:c r="F11" s="204" t="str">
        <x:v>FY26 actual</x:v>
      </x:c>
      <x:c r="G11" s="204" t="str">
        <x:v>Case benchmark</x:v>
      </x:c>
      <x:c r="H11" s="204" t="str">
        <x:v>Case benchmark</x:v>
      </x:c>
      <x:c r="I11" s="204" t="str">
        <x:v>Case benchmark</x:v>
      </x:c>
      <x:c r="J11" s="204" t="str">
        <x:v>Case benchmark</x:v>
      </x:c>
      <x:c r="K11" s="205" t="n">
        <x:f>'Monthly Model'!Q36</x:f>
        <x:v>0.002221340625</x:v>
      </x:c>
      <x:c r="L11" s="205"/>
      <x:c r="M11" s="205"/>
      <x:c r="N11" s="205"/>
      <x:c r="O11" s="205" t="n">
        <x:f>'Monthly Model'!R36</x:f>
        <x:v>0.0097488125</x:v>
      </x:c>
      <x:c r="P11" s="205"/>
      <x:c r="Q11" s="205"/>
      <x:c r="R11" s="205"/>
    </x:row>
    <x:row r="12">
      <x:c r="A12" s="2"/>
      <x:c r="B12" s="2"/>
      <x:c r="C12" s="2"/>
      <x:c r="D12" s="2"/>
      <x:c r="E12" s="2"/>
      <x:c r="F12" s="2"/>
      <x:c r="G12" s="2"/>
      <x:c r="H12" s="2"/>
      <x:c r="I12" s="2"/>
      <x:c r="J12" s="2"/>
      <x:c r="K12" s="2"/>
      <x:c r="L12" s="2"/>
      <x:c r="M12" s="2"/>
      <x:c r="N12" s="2"/>
      <x:c r="O12" s="2"/>
      <x:c r="P12" s="2"/>
      <x:c r="Q12" s="2"/>
      <x:c r="R12" s="2"/>
    </x:row>
    <x:row r="13" ht="20" customHeight="1">
      <x:c r="A13" s="2"/>
      <x:c r="B13" s="2"/>
      <x:c r="C13" s="16" t="str">
        <x:v>WHAT THE MODEL SAYS</x:v>
      </x:c>
      <x:c r="D13" s="17" t="str">
        <x:v>WHAT THE MODEL SAYS</x:v>
      </x:c>
      <x:c r="E13" s="17" t="str">
        <x:v>WHAT THE MODEL SAYS</x:v>
      </x:c>
      <x:c r="F13" s="17" t="str">
        <x:v>WHAT THE MODEL SAYS</x:v>
      </x:c>
      <x:c r="G13" s="17" t="str">
        <x:v>WHAT THE MODEL SAYS</x:v>
      </x:c>
      <x:c r="H13" s="17" t="str">
        <x:v>WHAT THE MODEL SAYS</x:v>
      </x:c>
      <x:c r="I13" s="17" t="str">
        <x:v>WHAT THE MODEL SAYS</x:v>
      </x:c>
      <x:c r="J13" s="17" t="str">
        <x:v>WHAT THE MODEL SAYS</x:v>
      </x:c>
      <x:c r="K13" s="17" t="str">
        <x:v>WHAT THE MODEL SAYS</x:v>
      </x:c>
      <x:c r="L13" s="17" t="str">
        <x:v>WHAT THE MODEL SAYS</x:v>
      </x:c>
      <x:c r="M13" s="17" t="str">
        <x:v>WHAT THE MODEL SAYS</x:v>
      </x:c>
      <x:c r="N13" s="17" t="str">
        <x:v>WHAT THE MODEL SAYS</x:v>
      </x:c>
      <x:c r="O13" s="17" t="str">
        <x:v>WHAT THE MODEL SAYS</x:v>
      </x:c>
      <x:c r="P13" s="17" t="str">
        <x:v>WHAT THE MODEL SAYS</x:v>
      </x:c>
      <x:c r="Q13" s="17" t="str">
        <x:v>WHAT THE MODEL SAYS</x:v>
      </x:c>
      <x:c r="R13" s="18" t="str">
        <x:v>WHAT THE MODEL SAYS</x:v>
      </x:c>
    </x:row>
    <x:row r="14" ht="22" customHeight="1">
      <x:c r="A14" s="2"/>
      <x:c r="B14" s="2"/>
      <x:c r="C14" s="215" t="str">
        <x:f>"Year 1 reaches "&amp;TEXT('Monthly Model'!Q36,"0.00%")&amp;" of NMV because ReLoop ramps through the year and Source starts in month 7."</x:f>
        <x:v>Year 1 reaches 0.22% of NMV because ReLoop ramps through the year and Source starts in month 7.</x:v>
      </x:c>
      <x:c r="D14" s="216"/>
      <x:c r="E14" s="216"/>
      <x:c r="F14" s="216"/>
      <x:c r="G14" s="216"/>
      <x:c r="H14" s="216"/>
      <x:c r="I14" s="216"/>
      <x:c r="J14" s="217"/>
      <x:c r="K14" s="232" t="str">
        <x:f>"At steady state the model reaches "&amp;TEXT('Monthly Model'!R36,"0.00%")&amp;" of NMV, a gap of INR "&amp;TEXT(MAX(0,'Assumptions'!E8*'Assumptions'!E9-'Monthly Model'!R35),"#,##0.0")&amp;" cr to the 1% target."</x:f>
        <x:v>At steady state the model reaches 0.97% of NMV, a gap of INR 10.4 cr to the 1% target.</x:v>
      </x:c>
      <x:c r="L14" s="233"/>
      <x:c r="M14" s="233"/>
      <x:c r="N14" s="233"/>
      <x:c r="O14" s="233"/>
      <x:c r="P14" s="233"/>
      <x:c r="Q14" s="233"/>
      <x:c r="R14" s="234"/>
    </x:row>
    <x:row r="15" ht="22" customHeight="1">
      <x:c r="A15" s="2"/>
      <x:c r="B15" s="2"/>
      <x:c r="C15" s="218"/>
      <x:c r="D15" s="219"/>
      <x:c r="E15" s="219"/>
      <x:c r="F15" s="219"/>
      <x:c r="G15" s="219"/>
      <x:c r="H15" s="219"/>
      <x:c r="I15" s="219"/>
      <x:c r="J15" s="220"/>
      <x:c r="K15" s="235"/>
      <x:c r="L15" s="236"/>
      <x:c r="M15" s="236"/>
      <x:c r="N15" s="236"/>
      <x:c r="O15" s="236"/>
      <x:c r="P15" s="236"/>
      <x:c r="Q15" s="236"/>
      <x:c r="R15" s="237"/>
    </x:row>
    <x:row r="16" ht="22" customHeight="1">
      <x:c r="A16" s="2"/>
      <x:c r="B16" s="2"/>
      <x:c r="C16" s="221"/>
      <x:c r="D16" s="222"/>
      <x:c r="E16" s="222"/>
      <x:c r="F16" s="222"/>
      <x:c r="G16" s="222"/>
      <x:c r="H16" s="222"/>
      <x:c r="I16" s="222"/>
      <x:c r="J16" s="223"/>
      <x:c r="K16" s="238"/>
      <x:c r="L16" s="239"/>
      <x:c r="M16" s="239"/>
      <x:c r="N16" s="239"/>
      <x:c r="O16" s="239"/>
      <x:c r="P16" s="239"/>
      <x:c r="Q16" s="239"/>
      <x:c r="R16" s="240"/>
    </x:row>
    <x:row r="17">
      <x:c r="A17" s="2"/>
      <x:c r="B17" s="2"/>
      <x:c r="C17" s="2"/>
      <x:c r="D17" s="2"/>
      <x:c r="E17" s="2"/>
      <x:c r="F17" s="2"/>
      <x:c r="G17" s="2"/>
      <x:c r="H17" s="2"/>
      <x:c r="I17" s="2"/>
      <x:c r="J17" s="2"/>
      <x:c r="K17" s="2"/>
      <x:c r="L17" s="2"/>
      <x:c r="M17" s="2"/>
      <x:c r="N17" s="2"/>
      <x:c r="O17" s="2"/>
      <x:c r="P17" s="2"/>
      <x:c r="Q17" s="2"/>
      <x:c r="R17" s="2"/>
    </x:row>
    <x:row r="18">
      <x:c r="A18" s="2"/>
      <x:c r="B18" s="2"/>
      <x:c r="C18" s="2"/>
      <x:c r="D18" s="2"/>
      <x:c r="E18" s="2"/>
      <x:c r="F18" s="2"/>
      <x:c r="G18" s="2"/>
      <x:c r="H18" s="2"/>
      <x:c r="I18" s="2"/>
      <x:c r="J18" s="2"/>
      <x:c r="K18" s="2"/>
      <x:c r="L18" s="2"/>
      <x:c r="M18" s="2"/>
      <x:c r="N18" s="2"/>
      <x:c r="O18" s="2"/>
      <x:c r="P18" s="2"/>
      <x:c r="Q18" s="2"/>
      <x:c r="R18" s="2"/>
    </x:row>
    <x:row r="19">
      <x:c r="A19" s="2"/>
      <x:c r="B19" s="2"/>
      <x:c r="C19" s="2"/>
      <x:c r="D19" s="2"/>
      <x:c r="E19" s="2"/>
      <x:c r="F19" s="2"/>
      <x:c r="G19" s="2"/>
      <x:c r="H19" s="2"/>
      <x:c r="I19" s="2"/>
      <x:c r="J19" s="2"/>
      <x:c r="K19" s="2"/>
      <x:c r="L19" s="2"/>
      <x:c r="M19" s="2"/>
      <x:c r="N19" s="2"/>
      <x:c r="O19" s="2"/>
      <x:c r="P19" s="2"/>
      <x:c r="Q19" s="2"/>
      <x:c r="R19" s="2"/>
    </x:row>
    <x:row r="20">
      <x:c r="A20" s="2"/>
      <x:c r="B20" s="2"/>
      <x:c r="C20" s="2"/>
      <x:c r="D20" s="2"/>
      <x:c r="E20" s="2"/>
      <x:c r="F20" s="2"/>
      <x:c r="G20" s="2"/>
      <x:c r="H20" s="2"/>
      <x:c r="I20" s="2"/>
      <x:c r="J20" s="2"/>
      <x:c r="K20" s="2"/>
      <x:c r="L20" s="2"/>
      <x:c r="M20" s="2"/>
      <x:c r="N20" s="2"/>
      <x:c r="O20" s="2"/>
      <x:c r="P20" s="2"/>
      <x:c r="Q20" s="2"/>
      <x:c r="R20" s="2"/>
    </x:row>
    <x:row r="21">
      <x:c r="A21" s="2"/>
      <x:c r="B21" s="2"/>
      <x:c r="C21" s="2"/>
      <x:c r="D21" s="2"/>
      <x:c r="E21" s="2"/>
      <x:c r="F21" s="2"/>
      <x:c r="G21" s="2"/>
      <x:c r="H21" s="2"/>
      <x:c r="I21" s="2"/>
      <x:c r="J21" s="2"/>
      <x:c r="K21" s="2"/>
      <x:c r="L21" s="2"/>
      <x:c r="M21" s="2"/>
      <x:c r="N21" s="2"/>
      <x:c r="O21" s="2"/>
      <x:c r="P21" s="2"/>
      <x:c r="Q21" s="2"/>
      <x:c r="R21" s="2"/>
    </x:row>
    <x:row r="22">
      <x:c r="A22" s="2"/>
      <x:c r="B22" s="2"/>
      <x:c r="C22" s="2"/>
      <x:c r="D22" s="2"/>
      <x:c r="E22" s="2"/>
      <x:c r="F22" s="2"/>
      <x:c r="G22" s="2"/>
      <x:c r="H22" s="2"/>
      <x:c r="I22" s="2"/>
      <x:c r="J22" s="2"/>
      <x:c r="K22" s="2"/>
      <x:c r="L22" s="2"/>
      <x:c r="M22" s="2"/>
      <x:c r="N22" s="2"/>
      <x:c r="O22" s="2"/>
      <x:c r="P22" s="2"/>
      <x:c r="Q22" s="2"/>
      <x:c r="R22" s="2"/>
    </x:row>
    <x:row r="23">
      <x:c r="A23" s="2"/>
      <x:c r="B23" s="2"/>
      <x:c r="C23" s="2"/>
      <x:c r="D23" s="2"/>
      <x:c r="E23" s="2"/>
      <x:c r="F23" s="2"/>
      <x:c r="G23" s="2"/>
      <x:c r="H23" s="2"/>
      <x:c r="I23" s="2"/>
      <x:c r="J23" s="2"/>
      <x:c r="K23" s="2"/>
      <x:c r="L23" s="2"/>
      <x:c r="M23" s="2"/>
      <x:c r="N23" s="2"/>
      <x:c r="O23" s="2"/>
      <x:c r="P23" s="2"/>
      <x:c r="Q23" s="2"/>
      <x:c r="R23" s="2"/>
    </x:row>
    <x:row r="24">
      <x:c r="A24" s="2"/>
      <x:c r="B24" s="2"/>
      <x:c r="C24" s="2"/>
      <x:c r="D24" s="2"/>
      <x:c r="E24" s="2"/>
      <x:c r="F24" s="2"/>
      <x:c r="G24" s="2"/>
      <x:c r="H24" s="2"/>
      <x:c r="I24" s="2"/>
      <x:c r="J24" s="2"/>
      <x:c r="K24" s="2"/>
      <x:c r="L24" s="2"/>
      <x:c r="M24" s="2"/>
      <x:c r="N24" s="2"/>
      <x:c r="O24" s="2"/>
      <x:c r="P24" s="2"/>
      <x:c r="Q24" s="2"/>
      <x:c r="R24" s="2"/>
    </x:row>
    <x:row r="25">
      <x:c r="A25" s="2"/>
      <x:c r="B25" s="2"/>
      <x:c r="C25" s="2"/>
      <x:c r="D25" s="2"/>
      <x:c r="E25" s="2"/>
      <x:c r="F25" s="2"/>
      <x:c r="G25" s="2"/>
      <x:c r="H25" s="2"/>
      <x:c r="I25" s="2"/>
      <x:c r="J25" s="2"/>
      <x:c r="K25" s="2"/>
      <x:c r="L25" s="2"/>
      <x:c r="M25" s="2"/>
      <x:c r="N25" s="2"/>
      <x:c r="O25" s="2"/>
      <x:c r="P25" s="2"/>
      <x:c r="Q25" s="2"/>
      <x:c r="R25" s="2"/>
    </x:row>
    <x:row r="26">
      <x:c r="A26" s="2"/>
      <x:c r="B26" s="2"/>
      <x:c r="C26" s="2"/>
      <x:c r="D26" s="2"/>
      <x:c r="E26" s="2"/>
      <x:c r="F26" s="2"/>
      <x:c r="G26" s="2"/>
      <x:c r="H26" s="2"/>
      <x:c r="I26" s="2"/>
      <x:c r="J26" s="2"/>
      <x:c r="K26" s="2"/>
      <x:c r="L26" s="2"/>
      <x:c r="M26" s="2"/>
      <x:c r="N26" s="2"/>
      <x:c r="O26" s="2"/>
      <x:c r="P26" s="2"/>
      <x:c r="Q26" s="2"/>
      <x:c r="R26" s="2"/>
    </x:row>
    <x:row r="27">
      <x:c r="A27" s="2"/>
      <x:c r="B27" s="2"/>
      <x:c r="C27" s="2"/>
      <x:c r="D27" s="2"/>
      <x:c r="E27" s="2"/>
      <x:c r="F27" s="2"/>
      <x:c r="G27" s="2"/>
      <x:c r="H27" s="2"/>
      <x:c r="I27" s="2"/>
      <x:c r="J27" s="2"/>
      <x:c r="K27" s="2"/>
      <x:c r="L27" s="2"/>
      <x:c r="M27" s="2"/>
      <x:c r="N27" s="2"/>
      <x:c r="O27" s="2"/>
      <x:c r="P27" s="2"/>
      <x:c r="Q27" s="2"/>
      <x:c r="R27" s="2"/>
    </x:row>
    <x:row r="28">
      <x:c r="A28" s="2"/>
      <x:c r="B28" s="2"/>
      <x:c r="C28" s="2"/>
      <x:c r="D28" s="2"/>
      <x:c r="E28" s="2"/>
      <x:c r="F28" s="2"/>
      <x:c r="G28" s="2"/>
      <x:c r="H28" s="2"/>
      <x:c r="I28" s="2"/>
      <x:c r="J28" s="2"/>
      <x:c r="K28" s="2"/>
      <x:c r="L28" s="2"/>
      <x:c r="M28" s="2"/>
      <x:c r="N28" s="2"/>
      <x:c r="O28" s="2"/>
      <x:c r="P28" s="2"/>
      <x:c r="Q28" s="2"/>
      <x:c r="R28" s="2"/>
    </x:row>
    <x:row r="29">
      <x:c r="A29" s="2"/>
      <x:c r="B29" s="2"/>
      <x:c r="C29" s="2"/>
      <x:c r="D29" s="2"/>
      <x:c r="E29" s="2"/>
      <x:c r="F29" s="2"/>
      <x:c r="G29" s="2"/>
      <x:c r="H29" s="2"/>
      <x:c r="I29" s="2"/>
      <x:c r="J29" s="2"/>
      <x:c r="K29" s="2"/>
      <x:c r="L29" s="2"/>
      <x:c r="M29" s="2"/>
      <x:c r="N29" s="2"/>
      <x:c r="O29" s="2"/>
      <x:c r="P29" s="2"/>
      <x:c r="Q29" s="2"/>
      <x:c r="R29" s="2"/>
    </x:row>
    <x:row r="30">
      <x:c r="A30" s="2"/>
      <x:c r="B30" s="2"/>
      <x:c r="C30" s="2"/>
      <x:c r="D30" s="2"/>
      <x:c r="E30" s="2"/>
      <x:c r="F30" s="2"/>
      <x:c r="G30" s="2"/>
      <x:c r="H30" s="2"/>
      <x:c r="I30" s="2"/>
      <x:c r="J30" s="2"/>
      <x:c r="K30" s="2"/>
      <x:c r="L30" s="2"/>
      <x:c r="M30" s="2"/>
      <x:c r="N30" s="2"/>
      <x:c r="O30" s="2"/>
      <x:c r="P30" s="2"/>
      <x:c r="Q30" s="2"/>
      <x:c r="R30" s="2"/>
    </x:row>
    <x:row r="31">
      <x:c r="A31" s="2"/>
      <x:c r="B31" s="2"/>
      <x:c r="C31" s="2"/>
      <x:c r="D31" s="2"/>
      <x:c r="E31" s="2"/>
      <x:c r="F31" s="2"/>
      <x:c r="G31" s="2"/>
      <x:c r="H31" s="2"/>
      <x:c r="I31" s="2"/>
      <x:c r="J31" s="2"/>
      <x:c r="K31" s="2"/>
      <x:c r="L31" s="2"/>
      <x:c r="M31" s="2"/>
      <x:c r="N31" s="2"/>
      <x:c r="O31" s="2"/>
      <x:c r="P31" s="2"/>
      <x:c r="Q31" s="2"/>
      <x:c r="R31" s="2"/>
    </x:row>
    <x:row r="32">
      <x:c r="A32" s="2"/>
      <x:c r="B32" s="2"/>
      <x:c r="C32" s="2"/>
      <x:c r="D32" s="2"/>
      <x:c r="E32" s="2"/>
      <x:c r="F32" s="2"/>
      <x:c r="G32" s="2"/>
      <x:c r="H32" s="2"/>
      <x:c r="I32" s="2"/>
      <x:c r="J32" s="2"/>
      <x:c r="K32" s="2"/>
      <x:c r="L32" s="2"/>
      <x:c r="M32" s="2"/>
      <x:c r="N32" s="2"/>
      <x:c r="O32" s="2"/>
      <x:c r="P32" s="2"/>
      <x:c r="Q32" s="2"/>
      <x:c r="R32" s="2"/>
    </x:row>
    <x:row r="33" ht="20" customHeight="1">
      <x:c r="A33" s="2"/>
      <x:c r="B33" s="2"/>
      <x:c r="C33" s="16" t="str">
        <x:v>LOW / BASE / HIGH COMPARISON</x:v>
      </x:c>
      <x:c r="D33" s="17" t="str">
        <x:v>LOW / BASE / HIGH COMPARISON</x:v>
      </x:c>
      <x:c r="E33" s="17" t="str">
        <x:v>LOW / BASE / HIGH COMPARISON</x:v>
      </x:c>
      <x:c r="F33" s="17" t="str">
        <x:v>LOW / BASE / HIGH COMPARISON</x:v>
      </x:c>
      <x:c r="G33" s="17" t="str">
        <x:v>LOW / BASE / HIGH COMPARISON</x:v>
      </x:c>
      <x:c r="H33" s="17" t="str">
        <x:v>LOW / BASE / HIGH COMPARISON</x:v>
      </x:c>
      <x:c r="I33" s="17" t="str">
        <x:v>LOW / BASE / HIGH COMPARISON</x:v>
      </x:c>
      <x:c r="J33" s="17" t="str">
        <x:v>LOW / BASE / HIGH COMPARISON</x:v>
      </x:c>
      <x:c r="K33" s="16" t="str">
        <x:v>REVENUE FORMULAS</x:v>
      </x:c>
      <x:c r="L33" s="17" t="str">
        <x:v>REVENUE FORMULAS</x:v>
      </x:c>
      <x:c r="M33" s="17" t="str">
        <x:v>REVENUE FORMULAS</x:v>
      </x:c>
      <x:c r="N33" s="17" t="str">
        <x:v>REVENUE FORMULAS</x:v>
      </x:c>
      <x:c r="O33" s="17" t="str">
        <x:v>REVENUE FORMULAS</x:v>
      </x:c>
      <x:c r="P33" s="17" t="str">
        <x:v>REVENUE FORMULAS</x:v>
      </x:c>
      <x:c r="Q33" s="17" t="str">
        <x:v>REVENUE FORMULAS</x:v>
      </x:c>
      <x:c r="R33" s="18" t="str">
        <x:v>REVENUE FORMULAS</x:v>
      </x:c>
    </x:row>
    <x:row r="34" ht="20" customHeight="1">
      <x:c r="A34" s="2"/>
      <x:c r="B34" s="2"/>
      <x:c r="C34" s="23" t="str">
        <x:v>Scenario</x:v>
      </x:c>
      <x:c r="D34" s="23" t="str">
        <x:v>ReLoop steady</x:v>
      </x:c>
      <x:c r="E34" s="23" t="str">
        <x:v>Source steady</x:v>
      </x:c>
      <x:c r="F34" s="23" t="str">
        <x:v>Total steady</x:v>
      </x:c>
      <x:c r="G34" s="23" t="str">
        <x:v>Steady / NMV</x:v>
      </x:c>
      <x:c r="H34" s="23" t="str">
        <x:v>Year 1 revenue</x:v>
      </x:c>
      <x:c r="I34" s="23" t="str">
        <x:v>Year 1 / NMV</x:v>
      </x:c>
      <x:c r="J34" s="2"/>
      <x:c r="K34" s="259" t="str">
        <x:v>ReLoop revenue</x:v>
      </x:c>
      <x:c r="L34" s="260" t="str">
        <x:v>ReLoop revenue</x:v>
      </x:c>
      <x:c r="M34" s="260" t="str">
        <x:v>ReLoop revenue</x:v>
      </x:c>
      <x:c r="N34" s="260" t="str">
        <x:v>ReLoop revenue</x:v>
      </x:c>
      <x:c r="O34" s="260" t="str">
        <x:v>ReLoop revenue</x:v>
      </x:c>
      <x:c r="P34" s="260" t="str">
        <x:v>ReLoop revenue</x:v>
      </x:c>
      <x:c r="Q34" s="260" t="str">
        <x:v>ReLoop revenue</x:v>
      </x:c>
      <x:c r="R34" s="261" t="str">
        <x:v>ReLoop revenue</x:v>
      </x:c>
    </x:row>
    <x:row r="35" ht="20" customHeight="1">
      <x:c r="A35" s="2"/>
      <x:c r="B35" s="2"/>
      <x:c r="C35" s="24" t="str">
        <x:v>Low</x:v>
      </x:c>
      <x:c r="D35" s="241" t="n">
        <x:f>'Assumptions'!F8*'Assumptions'!F14*('Assumptions'!F10*'Assumptions'!F11+(1-'Assumptions'!F10)*'Assumptions'!F12)*'Assumptions'!F18*'Assumptions'!F19*'Assumptions'!F20*'Assumptions'!F21*'Assumptions'!F24+'Assumptions'!F8*'Assumptions'!F22*'Assumptions'!F23*'Assumptions'!F20*'Assumptions'!F21*'Assumptions'!F24</x:f>
        <x:v>6.85090625</x:v>
      </x:c>
      <x:c r="E35" s="241" t="n">
        <x:f>'Assumptions'!F8*'Assumptions'!F30*'Assumptions'!F31*'Assumptions'!F32</x:f>
        <x:v>84.15899999999999</x:v>
      </x:c>
      <x:c r="F35" s="241" t="n">
        <x:f>SUM(D35:E35)</x:f>
        <x:v>91.00990624999999</x:v>
      </x:c>
      <x:c r="G35" s="244" t="n">
        <x:f>F35/'Assumptions'!F8</x:f>
        <x:v>0.0021898437499999995</x:v>
      </x:c>
      <x:c r="H35" s="241" t="n">
        <x:f>D35*'Assumptions'!F25+E35*'Assumptions'!F33</x:f>
        <x:v>10.471171875000001</x:v>
      </x:c>
      <x:c r="I35" s="244" t="n">
        <x:f>H35/'Assumptions'!F8</x:f>
        <x:v>0.000251953125</x:v>
      </x:c>
      <x:c r="J35" s="2"/>
      <x:c r="K35" s="265" t="str">
        <x:v>RTO and ageing stock value x sell-through x recovery price x buyer Trust Premium</x:v>
      </x:c>
      <x:c r="L35" s="266" t="str">
        <x:v>RTO and ageing stock value x sell-through x recovery price x buyer Trust Premium</x:v>
      </x:c>
      <x:c r="M35" s="266" t="str">
        <x:v>RTO and ageing stock value x sell-through x recovery price x buyer Trust Premium</x:v>
      </x:c>
      <x:c r="N35" s="266" t="str">
        <x:v>RTO and ageing stock value x sell-through x recovery price x buyer Trust Premium</x:v>
      </x:c>
      <x:c r="O35" s="266" t="str">
        <x:v>RTO and ageing stock value x sell-through x recovery price x buyer Trust Premium</x:v>
      </x:c>
      <x:c r="P35" s="266" t="str">
        <x:v>RTO and ageing stock value x sell-through x recovery price x buyer Trust Premium</x:v>
      </x:c>
      <x:c r="Q35" s="266" t="str">
        <x:v>RTO and ageing stock value x sell-through x recovery price x buyer Trust Premium</x:v>
      </x:c>
      <x:c r="R35" s="267" t="str">
        <x:v>RTO and ageing stock value x sell-through x recovery price x buyer Trust Premium</x:v>
      </x:c>
    </x:row>
    <x:row r="36" ht="20" customHeight="1">
      <x:c r="A36" s="2"/>
      <x:c r="B36" s="2"/>
      <x:c r="C36" s="248" t="str">
        <x:v>Base</x:v>
      </x:c>
      <x:c r="D36" s="249" t="n">
        <x:f>'Assumptions'!G8*'Assumptions'!G14*('Assumptions'!G10*'Assumptions'!G11+(1-'Assumptions'!G10)*'Assumptions'!G12)*'Assumptions'!G18*'Assumptions'!G19*'Assumptions'!G20*'Assumptions'!G21*'Assumptions'!G24+'Assumptions'!G8*'Assumptions'!G22*'Assumptions'!G23*'Assumptions'!G20*'Assumptions'!G21*'Assumptions'!G24</x:f>
        <x:v>45.1471475</x:v>
      </x:c>
      <x:c r="E36" s="249" t="n">
        <x:f>'Assumptions'!G8*'Assumptions'!G30*'Assumptions'!G31*'Assumptions'!G32</x:f>
        <x:v>360.0135</x:v>
      </x:c>
      <x:c r="F36" s="249" t="n">
        <x:f>SUM(D36:E36)</x:f>
        <x:v>405.16064750000004</x:v>
      </x:c>
      <x:c r="G36" s="250" t="n">
        <x:f>F36/'Assumptions'!G8</x:f>
        <x:v>0.0097488125</x:v>
      </x:c>
      <x:c r="H36" s="249" t="n">
        <x:f>D36*'Assumptions'!G25+E36*'Assumptions'!G33</x:f>
        <x:v>92.31891637500001</x:v>
      </x:c>
      <x:c r="I36" s="250" t="n">
        <x:f>H36/'Assumptions'!G8</x:f>
        <x:v>0.0022213406250000006</x:v>
      </x:c>
      <x:c r="J36" s="2"/>
      <x:c r="K36" s="265" t="str">
        <x:v>Seller receives the full winning bid; premium is charged separately to the recovery buyer.</x:v>
      </x:c>
      <x:c r="L36" s="266" t="str">
        <x:v>Seller receives the full winning bid; premium is charged separately to the recovery buyer.</x:v>
      </x:c>
      <x:c r="M36" s="266" t="str">
        <x:v>Seller receives the full winning bid; premium is charged separately to the recovery buyer.</x:v>
      </x:c>
      <x:c r="N36" s="266" t="str">
        <x:v>Seller receives the full winning bid; premium is charged separately to the recovery buyer.</x:v>
      </x:c>
      <x:c r="O36" s="266" t="str">
        <x:v>Seller receives the full winning bid; premium is charged separately to the recovery buyer.</x:v>
      </x:c>
      <x:c r="P36" s="266" t="str">
        <x:v>Seller receives the full winning bid; premium is charged separately to the recovery buyer.</x:v>
      </x:c>
      <x:c r="Q36" s="266" t="str">
        <x:v>Seller receives the full winning bid; premium is charged separately to the recovery buyer.</x:v>
      </x:c>
      <x:c r="R36" s="267" t="str">
        <x:v>Seller receives the full winning bid; premium is charged separately to the recovery buyer.</x:v>
      </x:c>
    </x:row>
    <x:row r="37" ht="20" customHeight="1">
      <x:c r="A37" s="2"/>
      <x:c r="B37" s="2"/>
      <x:c r="C37" s="25" t="str">
        <x:v>High</x:v>
      </x:c>
      <x:c r="D37" s="242" t="n">
        <x:f>'Assumptions'!H8*'Assumptions'!H14*('Assumptions'!H10*'Assumptions'!H11+(1-'Assumptions'!H10)*'Assumptions'!H12)*'Assumptions'!H18*'Assumptions'!H19*'Assumptions'!H20*'Assumptions'!H21*'Assumptions'!H24+'Assumptions'!H8*'Assumptions'!H22*'Assumptions'!H23*'Assumptions'!H20*'Assumptions'!H21*'Assumptions'!H24</x:f>
        <x:v>174.4353073125</x:v>
      </x:c>
      <x:c r="E37" s="242" t="n">
        <x:f>'Assumptions'!H8*'Assumptions'!H30*'Assumptions'!H31*'Assumptions'!H32</x:f>
        <x:v>810.42</x:v>
      </x:c>
      <x:c r="F37" s="242" t="n">
        <x:f>SUM(D37:E37)</x:f>
        <x:v>984.8553073124999</x:v>
      </x:c>
      <x:c r="G37" s="126" t="n">
        <x:f>F37/'Assumptions'!H8</x:f>
        <x:v>0.023697192187499997</x:v>
      </x:c>
      <x:c r="H37" s="242" t="n">
        <x:f>D37*'Assumptions'!H25+E37*'Assumptions'!H33</x:f>
        <x:v>347.78718438749996</x:v>
      </x:c>
      <x:c r="I37" s="126" t="n">
        <x:f>H37/'Assumptions'!H8</x:f>
        <x:v>0.0083683153125</x:v>
      </x:c>
      <x:c r="J37" s="2"/>
      <x:c r="K37" s="254"/>
      <x:c r="L37" s="93"/>
      <x:c r="M37" s="93"/>
      <x:c r="N37" s="93"/>
      <x:c r="O37" s="93"/>
      <x:c r="P37" s="93"/>
      <x:c r="Q37" s="93"/>
      <x:c r="R37" s="255"/>
    </x:row>
    <x:row r="38" ht="20" customHeight="1">
      <x:c r="A38" s="2"/>
      <x:c r="B38" s="2"/>
      <x:c r="C38" s="26" t="str">
        <x:v>1% benchmark</x:v>
      </x:c>
      <x:c r="D38" s="243"/>
      <x:c r="E38" s="243"/>
      <x:c r="F38" s="243"/>
      <x:c r="G38" s="245" t="n">
        <x:v>0.01</x:v>
      </x:c>
      <x:c r="H38" s="243"/>
      <x:c r="I38" s="245" t="n">
        <x:v>0.01</x:v>
      </x:c>
      <x:c r="J38" s="2"/>
      <x:c r="K38" s="262" t="str">
        <x:v>Source revenue</x:v>
      </x:c>
      <x:c r="L38" s="263" t="str">
        <x:v>Source revenue</x:v>
      </x:c>
      <x:c r="M38" s="263" t="str">
        <x:v>Source revenue</x:v>
      </x:c>
      <x:c r="N38" s="263" t="str">
        <x:v>Source revenue</x:v>
      </x:c>
      <x:c r="O38" s="263" t="str">
        <x:v>Source revenue</x:v>
      </x:c>
      <x:c r="P38" s="263" t="str">
        <x:v>Source revenue</x:v>
      </x:c>
      <x:c r="Q38" s="263" t="str">
        <x:v>Source revenue</x:v>
      </x:c>
      <x:c r="R38" s="264" t="str">
        <x:v>Source revenue</x:v>
      </x:c>
    </x:row>
    <x:row r="39" ht="20" customHeight="1">
      <x:c r="A39" s="2"/>
      <x:c r="B39" s="2"/>
      <x:c r="C39" s="2"/>
      <x:c r="D39" s="2"/>
      <x:c r="E39" s="2"/>
      <x:c r="F39" s="2"/>
      <x:c r="G39" s="2"/>
      <x:c r="H39" s="2"/>
      <x:c r="I39" s="2"/>
      <x:c r="J39" s="2"/>
      <x:c r="K39" s="268" t="str">
        <x:v>NMV x seller procurement ratio x routed share x blended supplier-funded fee</x:v>
      </x:c>
      <x:c r="L39" s="269" t="str">
        <x:v>NMV x seller procurement ratio x routed share x blended supplier-funded fee</x:v>
      </x:c>
      <x:c r="M39" s="269" t="str">
        <x:v>NMV x seller procurement ratio x routed share x blended supplier-funded fee</x:v>
      </x:c>
      <x:c r="N39" s="269" t="str">
        <x:v>NMV x seller procurement ratio x routed share x blended supplier-funded fee</x:v>
      </x:c>
      <x:c r="O39" s="269" t="str">
        <x:v>NMV x seller procurement ratio x routed share x blended supplier-funded fee</x:v>
      </x:c>
      <x:c r="P39" s="269" t="str">
        <x:v>NMV x seller procurement ratio x routed share x blended supplier-funded fee</x:v>
      </x:c>
      <x:c r="Q39" s="269" t="str">
        <x:v>NMV x seller procurement ratio x routed share x blended supplier-funded fee</x:v>
      </x:c>
      <x:c r="R39" s="270" t="str">
        <x:v>NMV x seller procurement ratio x routed share x blended supplier-funded fee</x:v>
      </x:c>
    </x:row>
    <x:row r="40" ht="20" customHeight="1">
      <x:c r="A40" s="2"/>
      <x:c r="B40" s="2"/>
      <x:c r="C40" s="2"/>
      <x:c r="D40" s="2"/>
      <x:c r="E40" s="2"/>
      <x:c r="F40" s="2"/>
      <x:c r="G40" s="2"/>
      <x:c r="H40" s="2"/>
      <x:c r="I40" s="2"/>
      <x:c r="J40" s="2"/>
      <x:c r="K40" s="271" t="str">
        <x:v>Core sourcing is free to the seller; logistics revenue and credit income are excluded.</x:v>
      </x:c>
      <x:c r="L40" s="272" t="str">
        <x:v>Core sourcing is free to the seller; logistics revenue and credit income are excluded.</x:v>
      </x:c>
      <x:c r="M40" s="272" t="str">
        <x:v>Core sourcing is free to the seller; logistics revenue and credit income are excluded.</x:v>
      </x:c>
      <x:c r="N40" s="272" t="str">
        <x:v>Core sourcing is free to the seller; logistics revenue and credit income are excluded.</x:v>
      </x:c>
      <x:c r="O40" s="272" t="str">
        <x:v>Core sourcing is free to the seller; logistics revenue and credit income are excluded.</x:v>
      </x:c>
      <x:c r="P40" s="272" t="str">
        <x:v>Core sourcing is free to the seller; logistics revenue and credit income are excluded.</x:v>
      </x:c>
      <x:c r="Q40" s="272" t="str">
        <x:v>Core sourcing is free to the seller; logistics revenue and credit income are excluded.</x:v>
      </x:c>
      <x:c r="R40" s="273" t="str">
        <x:v>Core sourcing is free to the seller; logistics revenue and credit income are excluded.</x:v>
      </x:c>
    </x:row>
    <x:row r="41">
      <x:c r="A41" s="2"/>
      <x:c r="B41" s="2"/>
      <x:c r="C41" s="2"/>
      <x:c r="D41" s="2"/>
      <x:c r="E41" s="2"/>
      <x:c r="F41" s="2"/>
      <x:c r="G41" s="2"/>
      <x:c r="H41" s="2"/>
      <x:c r="I41" s="2"/>
      <x:c r="J41" s="2"/>
      <x:c r="K41" s="2"/>
      <x:c r="L41" s="2"/>
      <x:c r="M41" s="2"/>
      <x:c r="N41" s="2"/>
      <x:c r="O41" s="2"/>
      <x:c r="P41" s="2"/>
      <x:c r="Q41" s="2"/>
      <x:c r="R41" s="2"/>
    </x:row>
    <x:row r="42">
      <x:c r="A42" s="2"/>
      <x:c r="B42" s="2"/>
      <x:c r="C42" s="2"/>
      <x:c r="D42" s="2"/>
      <x:c r="E42" s="2"/>
      <x:c r="F42" s="2"/>
      <x:c r="G42" s="2"/>
      <x:c r="H42" s="2"/>
      <x:c r="I42" s="2"/>
      <x:c r="J42" s="2"/>
      <x:c r="K42" s="2"/>
      <x:c r="L42" s="2"/>
      <x:c r="M42" s="2"/>
      <x:c r="N42" s="2"/>
      <x:c r="O42" s="2"/>
      <x:c r="P42" s="2"/>
      <x:c r="Q42" s="2"/>
      <x:c r="R42" s="2"/>
    </x:row>
    <x:row r="43" ht="2" customHeight="1">
      <x:c r="A43" s="2"/>
      <x:c r="B43" s="2"/>
      <x:c r="C43" s="274" t="str">
        <x:v>Scenario</x:v>
      </x:c>
      <x:c r="D43" s="274" t="str">
        <x:v>ReLoop</x:v>
      </x:c>
      <x:c r="E43" s="274" t="str">
        <x:v>Source</x:v>
      </x:c>
      <x:c r="F43" s="274" t="str">
        <x:v>Total</x:v>
      </x:c>
      <x:c r="G43" s="274" t="str">
        <x:v>1% target</x:v>
      </x:c>
      <x:c r="H43" s="274"/>
      <x:c r="I43" s="274" t="str">
        <x:v>Month</x:v>
      </x:c>
      <x:c r="J43" s="274" t="str">
        <x:v>Revenue</x:v>
      </x:c>
      <x:c r="K43" s="2"/>
      <x:c r="L43" s="2"/>
      <x:c r="M43" s="2"/>
      <x:c r="N43" s="2"/>
      <x:c r="O43" s="2"/>
      <x:c r="P43" s="2"/>
      <x:c r="Q43" s="2"/>
      <x:c r="R43" s="2"/>
    </x:row>
    <x:row r="44" ht="2" customHeight="1">
      <x:c r="A44" s="2"/>
      <x:c r="B44" s="2"/>
      <x:c r="C44" s="274" t="str">
        <x:v>Low</x:v>
      </x:c>
      <x:c r="D44" s="274" t="n">
        <x:f>D35</x:f>
        <x:v>6.85090625</x:v>
      </x:c>
      <x:c r="E44" s="274" t="n">
        <x:f>E35</x:f>
        <x:v>84.15899999999999</x:v>
      </x:c>
      <x:c r="F44" s="274" t="n">
        <x:f>F35</x:f>
        <x:v>91.00990624999999</x:v>
      </x:c>
      <x:c r="G44" s="274" t="n">
        <x:f>'Assumptions'!$E$8*'Assumptions'!$E$9</x:f>
        <x:v>415.6</x:v>
      </x:c>
      <x:c r="H44" s="274"/>
      <x:c r="I44" s="274" t="str">
        <x:v>M1</x:v>
      </x:c>
      <x:c r="J44" s="274" t="n">
        <x:f>'Monthly Model'!E35</x:f>
        <x:v>0.3762262291666667</x:v>
      </x:c>
      <x:c r="K44" s="2"/>
      <x:c r="L44" s="2"/>
      <x:c r="M44" s="2"/>
      <x:c r="N44" s="2"/>
      <x:c r="O44" s="2"/>
      <x:c r="P44" s="2"/>
      <x:c r="Q44" s="2"/>
      <x:c r="R44" s="2"/>
    </x:row>
    <x:row r="45" ht="2" customHeight="1">
      <x:c r="A45" s="2"/>
      <x:c r="B45" s="2"/>
      <x:c r="C45" s="274" t="str">
        <x:v>Base</x:v>
      </x:c>
      <x:c r="D45" s="274" t="n">
        <x:f>D36</x:f>
        <x:v>45.1471475</x:v>
      </x:c>
      <x:c r="E45" s="274" t="n">
        <x:f>E36</x:f>
        <x:v>360.0135</x:v>
      </x:c>
      <x:c r="F45" s="274" t="n">
        <x:f>F36</x:f>
        <x:v>405.16064750000004</x:v>
      </x:c>
      <x:c r="G45" s="274" t="n">
        <x:f>'Assumptions'!$E$8*'Assumptions'!$E$9</x:f>
        <x:v>415.6</x:v>
      </x:c>
      <x:c r="H45" s="274"/>
      <x:c r="I45" s="274" t="str">
        <x:v>M2</x:v>
      </x:c>
      <x:c r="J45" s="274" t="n">
        <x:f>'Monthly Model'!F35</x:f>
        <x:v>0.5643393437499999</x:v>
      </x:c>
      <x:c r="K45" s="2"/>
      <x:c r="L45" s="2"/>
      <x:c r="M45" s="2"/>
      <x:c r="N45" s="2"/>
      <x:c r="O45" s="2"/>
      <x:c r="P45" s="2"/>
      <x:c r="Q45" s="2"/>
      <x:c r="R45" s="2"/>
    </x:row>
    <x:row r="46" ht="2" customHeight="1">
      <x:c r="A46" s="2"/>
      <x:c r="B46" s="2"/>
      <x:c r="C46" s="274" t="str">
        <x:v>High</x:v>
      </x:c>
      <x:c r="D46" s="274" t="n">
        <x:f>D37</x:f>
        <x:v>174.4353073125</x:v>
      </x:c>
      <x:c r="E46" s="274" t="n">
        <x:f>E37</x:f>
        <x:v>810.42</x:v>
      </x:c>
      <x:c r="F46" s="274" t="n">
        <x:f>F37</x:f>
        <x:v>984.8553073124999</x:v>
      </x:c>
      <x:c r="G46" s="274" t="n">
        <x:f>'Assumptions'!$E$8*'Assumptions'!$E$9</x:f>
        <x:v>415.6</x:v>
      </x:c>
      <x:c r="H46" s="274"/>
      <x:c r="I46" s="274" t="str">
        <x:v>M3</x:v>
      </x:c>
      <x:c r="J46" s="274" t="n">
        <x:f>'Monthly Model'!G35</x:f>
        <x:v>0.7524524583333334</x:v>
      </x:c>
      <x:c r="K46" s="2"/>
      <x:c r="L46" s="2"/>
      <x:c r="M46" s="2"/>
      <x:c r="N46" s="2"/>
      <x:c r="O46" s="2"/>
      <x:c r="P46" s="2"/>
      <x:c r="Q46" s="2"/>
      <x:c r="R46" s="2"/>
    </x:row>
    <x:row r="47" ht="2" customHeight="1">
      <x:c r="A47" s="2"/>
      <x:c r="B47" s="2"/>
      <x:c r="C47" s="274"/>
      <x:c r="D47" s="274"/>
      <x:c r="E47" s="274"/>
      <x:c r="F47" s="274"/>
      <x:c r="G47" s="274"/>
      <x:c r="H47" s="274"/>
      <x:c r="I47" s="274" t="str">
        <x:v>M4</x:v>
      </x:c>
      <x:c r="J47" s="274" t="n">
        <x:f>'Monthly Model'!H35</x:f>
        <x:v>1.1286786874999999</x:v>
      </x:c>
      <x:c r="K47" s="2"/>
      <x:c r="L47" s="2"/>
      <x:c r="M47" s="2"/>
      <x:c r="N47" s="2"/>
      <x:c r="O47" s="2"/>
      <x:c r="P47" s="2"/>
      <x:c r="Q47" s="2"/>
      <x:c r="R47" s="2"/>
    </x:row>
    <x:row r="48" ht="2" customHeight="1">
      <x:c r="C48" s="275"/>
      <x:c r="D48" s="275"/>
      <x:c r="E48" s="275"/>
      <x:c r="F48" s="275"/>
      <x:c r="G48" s="275"/>
      <x:c r="H48" s="275"/>
      <x:c r="I48" s="275" t="str">
        <x:v>M5</x:v>
      </x:c>
      <x:c r="J48" s="275" t="n">
        <x:f>'Monthly Model'!I35</x:f>
        <x:v>1.5049049166666668</x:v>
      </x:c>
    </x:row>
    <x:row r="49" ht="2" customHeight="1">
      <x:c r="C49" s="275"/>
      <x:c r="D49" s="275"/>
      <x:c r="E49" s="275"/>
      <x:c r="F49" s="275"/>
      <x:c r="G49" s="275"/>
      <x:c r="H49" s="275"/>
      <x:c r="I49" s="275" t="str">
        <x:v>M6</x:v>
      </x:c>
      <x:c r="J49" s="275" t="n">
        <x:f>'Monthly Model'!J35</x:f>
        <x:v>1.69301803125</x:v>
      </x:c>
    </x:row>
    <x:row r="50" ht="2" customHeight="1">
      <x:c r="C50" s="275"/>
      <x:c r="D50" s="275"/>
      <x:c r="E50" s="275"/>
      <x:c r="F50" s="275"/>
      <x:c r="G50" s="275"/>
      <x:c r="H50" s="275"/>
      <x:c r="I50" s="275" t="str">
        <x:v>M7</x:v>
      </x:c>
      <x:c r="J50" s="275" t="n">
        <x:f>'Monthly Model'!K35</x:f>
        <x:v>4.881243645833333</x:v>
      </x:c>
    </x:row>
    <x:row r="51" ht="2" customHeight="1">
      <x:c r="C51" s="275"/>
      <x:c r="D51" s="275"/>
      <x:c r="E51" s="275"/>
      <x:c r="F51" s="275"/>
      <x:c r="G51" s="275"/>
      <x:c r="H51" s="275"/>
      <x:c r="I51" s="275" t="str">
        <x:v>M8</x:v>
      </x:c>
      <x:c r="J51" s="275" t="n">
        <x:f>'Monthly Model'!L35</x:f>
        <x:v>8.069469260416668</x:v>
      </x:c>
    </x:row>
    <x:row r="52" ht="2" customHeight="1">
      <x:c r="C52" s="275"/>
      <x:c r="D52" s="275"/>
      <x:c r="E52" s="275"/>
      <x:c r="F52" s="275"/>
      <x:c r="G52" s="275"/>
      <x:c r="H52" s="275"/>
      <x:c r="I52" s="275" t="str">
        <x:v>M9</x:v>
      </x:c>
      <x:c r="J52" s="275" t="n">
        <x:f>'Monthly Model'!M35</x:f>
        <x:v>11.257694875</x:v>
      </x:c>
    </x:row>
    <x:row r="53" ht="2" customHeight="1">
      <x:c r="C53" s="275"/>
      <x:c r="D53" s="275"/>
      <x:c r="E53" s="275"/>
      <x:c r="F53" s="275"/>
      <x:c r="G53" s="275"/>
      <x:c r="H53" s="275"/>
      <x:c r="I53" s="275" t="str">
        <x:v>M10</x:v>
      </x:c>
      <x:c r="J53" s="275" t="n">
        <x:f>'Monthly Model'!N35</x:f>
        <x:v>14.445920489583333</x:v>
      </x:c>
    </x:row>
    <x:row r="54" ht="2" customHeight="1">
      <x:c r="C54" s="275"/>
      <x:c r="D54" s="275"/>
      <x:c r="E54" s="275"/>
      <x:c r="F54" s="275"/>
      <x:c r="G54" s="275"/>
      <x:c r="H54" s="275"/>
      <x:c r="I54" s="275" t="str">
        <x:v>M11</x:v>
      </x:c>
      <x:c r="J54" s="275" t="n">
        <x:f>'Monthly Model'!O35</x:f>
        <x:v>20.634258604166668</x:v>
      </x:c>
    </x:row>
    <x:row r="55" ht="2" customHeight="1">
      <x:c r="C55" s="275"/>
      <x:c r="D55" s="275"/>
      <x:c r="E55" s="275"/>
      <x:c r="F55" s="275"/>
      <x:c r="G55" s="275"/>
      <x:c r="H55" s="275"/>
      <x:c r="I55" s="275" t="str">
        <x:v>M12</x:v>
      </x:c>
      <x:c r="J55" s="275" t="n">
        <x:f>'Monthly Model'!P35</x:f>
        <x:v>27.010709833333337</x:v>
      </x:c>
    </x:row>
    <x:row r="56" ht="2" customHeight="1">
      <x:c r="C56" s="275"/>
      <x:c r="D56" s="275"/>
      <x:c r="E56" s="275"/>
      <x:c r="F56" s="275"/>
      <x:c r="G56" s="275"/>
      <x:c r="H56" s="275"/>
      <x:c r="I56" s="275" t="str">
        <x:v>Steady</x:v>
      </x:c>
      <x:c r="J56" s="275" t="n">
        <x:f>'Monthly Model'!R35/12</x:f>
        <x:v>33.76338729166667</x:v>
      </x:c>
    </x:row>
  </x:sheetData>
  <x:mergeCells>
    <x:mergeCell ref="C2:R2"/>
    <x:mergeCell ref="C3:R3"/>
    <x:mergeCell ref="F5:R5"/>
    <x:mergeCell ref="C7:F7"/>
    <x:mergeCell ref="C8:F10"/>
    <x:mergeCell ref="G7:J7"/>
    <x:mergeCell ref="G8:J10"/>
    <x:mergeCell ref="K7:N7"/>
    <x:mergeCell ref="K8:N10"/>
    <x:mergeCell ref="O7:R7"/>
    <x:mergeCell ref="O8:R10"/>
    <x:mergeCell ref="C11:F11"/>
    <x:mergeCell ref="G11:J11"/>
    <x:mergeCell ref="K11:N11"/>
    <x:mergeCell ref="O11:R11"/>
    <x:mergeCell ref="C13:R13"/>
    <x:mergeCell ref="C14:J16"/>
    <x:mergeCell ref="K14:R16"/>
    <x:mergeCell ref="C33:R33"/>
    <x:mergeCell ref="K33:R33"/>
    <x:mergeCell ref="K34:R34"/>
    <x:mergeCell ref="K35:R35"/>
    <x:mergeCell ref="K36:R36"/>
    <x:mergeCell ref="K38:R38"/>
    <x:mergeCell ref="K39:R39"/>
    <x:mergeCell ref="K40:R40"/>
  </x:mergeCells>
  <x:pageMargins left="0.7" right="0.7" top="0.75" bottom="0.75" header="0.3" footer="0.3"/>
  <x:drawing xmlns:r="http://schemas.openxmlformats.org/officeDocument/2006/relationships" r:id="Rb0a8e122ee934870"/>
</x:worksheet>
</file>

<file path=xl/worksheets/sheet2.xml><?xml version="1.0" encoding="utf-8"?>
<x:worksheet xmlns:x="http://schemas.openxmlformats.org/spreadsheetml/2006/main">
  <x:sheetPr>
    <x:tabColor rgb="FFF59E0B"/>
  </x:sheetPr>
  <x:sheetViews>
    <x:sheetView showGridLines="0" workbookViewId="0">
      <x:pane ySplit="7" topLeftCell="A8" activePane="bottomLeft" state="frozen"/>
    </x:sheetView>
  </x:sheetViews>
  <x:sheetFormatPr defaultRowHeight="15"/>
  <x:cols>
    <x:col min="1" max="1" width="3" hidden="0" customWidth="1"/>
    <x:col min="2" max="2" width="3" hidden="0" customWidth="1"/>
    <x:col min="3" max="3" width="34" hidden="0" customWidth="1"/>
    <x:col min="4" max="4" width="17" hidden="0" customWidth="1"/>
    <x:col min="5" max="5" width="13" hidden="0" customWidth="1"/>
    <x:col min="6" max="6" width="13" hidden="0" customWidth="1"/>
    <x:col min="7" max="7" width="13" hidden="0" customWidth="1"/>
    <x:col min="8" max="8" width="13" hidden="0" customWidth="1"/>
    <x:col min="9" max="9" width="52" hidden="0" customWidth="1"/>
  </x:cols>
  <x:sheetData>
    <x:row r="1">
      <x:c r="A1" s="2"/>
      <x:c r="B1" s="2"/>
      <x:c r="C1" s="2"/>
      <x:c r="D1" s="2"/>
      <x:c r="E1" s="2"/>
      <x:c r="F1" s="2"/>
      <x:c r="G1" s="2"/>
      <x:c r="H1" s="2"/>
      <x:c r="I1" s="2"/>
    </x:row>
    <x:row r="2" ht="28" customHeight="1">
      <x:c r="A2" s="2"/>
      <x:c r="B2" s="2"/>
      <x:c r="C2" s="386" t="str">
        <x:v>Meesho ReLoop financial model assumptions</x:v>
      </x:c>
      <x:c r="D2" s="3" t="str">
        <x:v>Meesho ReLoop financial model assumptions</x:v>
      </x:c>
      <x:c r="E2" s="3" t="str">
        <x:v>Meesho ReLoop financial model assumptions</x:v>
      </x:c>
      <x:c r="F2" s="3" t="str">
        <x:v>Meesho ReLoop financial model assumptions</x:v>
      </x:c>
      <x:c r="G2" s="3" t="str">
        <x:v>Meesho ReLoop financial model assumptions</x:v>
      </x:c>
      <x:c r="H2" s="3" t="str">
        <x:v>Meesho ReLoop financial model assumptions</x:v>
      </x:c>
      <x:c r="I2" s="3" t="str">
        <x:v>Meesho ReLoop financial model assumptions</x:v>
      </x:c>
    </x:row>
    <x:row r="3" ht="19" customHeight="1">
      <x:c r="A3" s="2"/>
      <x:c r="B3" s="2"/>
      <x:c r="C3" s="4" t="str">
        <x:v>Edit blue-font cells only. All amounts are in INR crore unless stated otherwise.</x:v>
      </x:c>
      <x:c r="D3" s="4" t="str">
        <x:v>Edit blue-font cells only. All amounts are in INR crore unless stated otherwise.</x:v>
      </x:c>
      <x:c r="E3" s="4" t="str">
        <x:v>Edit blue-font cells only. All amounts are in INR crore unless stated otherwise.</x:v>
      </x:c>
      <x:c r="F3" s="4" t="str">
        <x:v>Edit blue-font cells only. All amounts are in INR crore unless stated otherwise.</x:v>
      </x:c>
      <x:c r="G3" s="4" t="str">
        <x:v>Edit blue-font cells only. All amounts are in INR crore unless stated otherwise.</x:v>
      </x:c>
      <x:c r="H3" s="4" t="str">
        <x:v>Edit blue-font cells only. All amounts are in INR crore unless stated otherwise.</x:v>
      </x:c>
      <x:c r="I3" s="4" t="str">
        <x:v>Edit blue-font cells only. All amounts are in INR crore unless stated otherwise.</x:v>
      </x:c>
    </x:row>
    <x:row r="4" ht="19" customHeight="1">
      <x:c r="A4" s="2"/>
      <x:c r="B4" s="2"/>
      <x:c r="C4" s="2" t="str">
        <x:v>Case selector (1=Low, 2=Base, 3=High)</x:v>
      </x:c>
      <x:c r="D4" s="6" t="n">
        <x:v>2</x:v>
      </x:c>
      <x:c r="E4" s="10" t="str">
        <x:f>CHOOSE(D4,"Low","Base","High")</x:f>
        <x:v>Base</x:v>
      </x:c>
      <x:c r="F4" s="2"/>
      <x:c r="G4" s="4" t="str">
        <x:v>Blue = editable input | Black = same-sheet formula | Green = cross-sheet link</x:v>
      </x:c>
      <x:c r="H4" s="4" t="str">
        <x:v>Blue = editable input | Black = same-sheet formula | Green = cross-sheet link</x:v>
      </x:c>
      <x:c r="I4" s="4" t="str">
        <x:v>Blue = editable input | Black = same-sheet formula | Green = cross-sheet link</x:v>
      </x:c>
    </x:row>
    <x:row r="5" ht="19" customHeight="1">
      <x:c r="A5" s="2"/>
      <x:c r="B5" s="2"/>
      <x:c r="C5" s="2"/>
      <x:c r="D5" s="2"/>
      <x:c r="E5" s="2"/>
      <x:c r="F5" s="2"/>
      <x:c r="G5" s="2"/>
      <x:c r="H5" s="2"/>
      <x:c r="I5" s="2"/>
    </x:row>
    <x:row r="6" ht="20" customHeight="1">
      <x:c r="A6" s="2"/>
      <x:c r="B6" s="2"/>
      <x:c r="C6" s="16" t="str">
        <x:v>MODEL BASIS</x:v>
      </x:c>
      <x:c r="D6" s="17" t="str">
        <x:v>MODEL BASIS</x:v>
      </x:c>
      <x:c r="E6" s="17" t="str">
        <x:v>MODEL BASIS</x:v>
      </x:c>
      <x:c r="F6" s="17" t="str">
        <x:v>MODEL BASIS</x:v>
      </x:c>
      <x:c r="G6" s="17" t="str">
        <x:v>MODEL BASIS</x:v>
      </x:c>
      <x:c r="H6" s="17" t="str">
        <x:v>MODEL BASIS</x:v>
      </x:c>
      <x:c r="I6" s="18" t="str">
        <x:v>MODEL BASIS</x:v>
      </x:c>
    </x:row>
    <x:row r="7" ht="19" customHeight="1">
      <x:c r="A7" s="2"/>
      <x:c r="B7" s="2"/>
      <x:c r="C7" s="23" t="str">
        <x:v>Driver</x:v>
      </x:c>
      <x:c r="D7" s="23" t="str">
        <x:v>Unit</x:v>
      </x:c>
      <x:c r="E7" s="23" t="str">
        <x:v>Active</x:v>
      </x:c>
      <x:c r="F7" s="23" t="str">
        <x:v>Low</x:v>
      </x:c>
      <x:c r="G7" s="23" t="str">
        <x:v>Base</x:v>
      </x:c>
      <x:c r="H7" s="23" t="str">
        <x:v>High</x:v>
      </x:c>
      <x:c r="I7" s="23" t="str">
        <x:v>Source / rationale</x:v>
      </x:c>
    </x:row>
    <x:row r="8" ht="19" customHeight="1">
      <x:c r="A8" s="2"/>
      <x:c r="B8" s="2"/>
      <x:c r="C8" s="62" t="str">
        <x:v>Reference annual NMV</x:v>
      </x:c>
      <x:c r="D8" s="67" t="str">
        <x:v>INR cr</x:v>
      </x:c>
      <x:c r="E8" s="68" t="n">
        <x:f>CHOOSE($D$4,F8,G8,H8)</x:f>
        <x:v>41560</x:v>
      </x:c>
      <x:c r="F8" s="69" t="n">
        <x:v>41560</x:v>
      </x:c>
      <x:c r="G8" s="69" t="n">
        <x:v>41560</x:v>
      </x:c>
      <x:c r="H8" s="69" t="n">
        <x:v>41560</x:v>
      </x:c>
      <x:c r="I8" s="90" t="str">
        <x:v>[S1] FY26 actual; editable sizing basis</x:v>
      </x:c>
    </x:row>
    <x:row r="9" ht="19" customHeight="1">
      <x:c r="A9" s="2"/>
      <x:c r="B9" s="2"/>
      <x:c r="C9" s="63" t="str">
        <x:v>New revenue target</x:v>
      </x:c>
      <x:c r="D9" s="70" t="str">
        <x:v>% NMV</x:v>
      </x:c>
      <x:c r="E9" s="71" t="n">
        <x:f>CHOOSE($D$4,F9,G9,H9)</x:f>
        <x:v>0.01</x:v>
      </x:c>
      <x:c r="F9" s="72" t="n">
        <x:v>0.01</x:v>
      </x:c>
      <x:c r="G9" s="72" t="n">
        <x:v>0.01</x:v>
      </x:c>
      <x:c r="H9" s="72" t="n">
        <x:v>0.01</x:v>
      </x:c>
      <x:c r="I9" s="91" t="str">
        <x:v>[S2] Monetisation case objective</x:v>
      </x:c>
    </x:row>
    <x:row r="10" ht="19" customHeight="1">
      <x:c r="A10" s="2"/>
      <x:c r="B10" s="2"/>
      <x:c r="C10" s="63" t="str">
        <x:v>COD order share in Valmo</x:v>
      </x:c>
      <x:c r="D10" s="70" t="str">
        <x:v>% orders</x:v>
      </x:c>
      <x:c r="E10" s="71" t="n">
        <x:f>CHOOSE($D$4,F10,G10,H10)</x:f>
        <x:v>0.8</x:v>
      </x:c>
      <x:c r="F10" s="72" t="n">
        <x:v>0.8</x:v>
      </x:c>
      <x:c r="G10" s="72" t="n">
        <x:v>0.8</x:v>
      </x:c>
      <x:c r="H10" s="72" t="n">
        <x:v>0.8</x:v>
      </x:c>
      <x:c r="I10" s="91" t="str">
        <x:v>[S3] Competition-provided Valmo data pack</x:v>
      </x:c>
    </x:row>
    <x:row r="11" ht="19" customHeight="1">
      <x:c r="A11" s="2"/>
      <x:c r="B11" s="2"/>
      <x:c r="C11" s="63" t="str">
        <x:v>RTO rate on COD orders</x:v>
      </x:c>
      <x:c r="D11" s="70" t="str">
        <x:v>% COD orders</x:v>
      </x:c>
      <x:c r="E11" s="71" t="n">
        <x:f>CHOOSE($D$4,F11,G11,H11)</x:f>
        <x:v>0.2</x:v>
      </x:c>
      <x:c r="F11" s="72" t="n">
        <x:v>0.2</x:v>
      </x:c>
      <x:c r="G11" s="72" t="n">
        <x:v>0.2</x:v>
      </x:c>
      <x:c r="H11" s="72" t="n">
        <x:v>0.2</x:v>
      </x:c>
      <x:c r="I11" s="91" t="str">
        <x:v>[S3] Competition-provided Valmo data pack</x:v>
      </x:c>
    </x:row>
    <x:row r="12" ht="19" customHeight="1">
      <x:c r="A12" s="2"/>
      <x:c r="B12" s="2"/>
      <x:c r="C12" s="63" t="str">
        <x:v>RTO rate on prepaid orders</x:v>
      </x:c>
      <x:c r="D12" s="70" t="str">
        <x:v>% prepaid orders</x:v>
      </x:c>
      <x:c r="E12" s="71" t="n">
        <x:f>CHOOSE($D$4,F12,G12,H12)</x:f>
        <x:v>0.05</x:v>
      </x:c>
      <x:c r="F12" s="72" t="n">
        <x:v>0.05</x:v>
      </x:c>
      <x:c r="G12" s="72" t="n">
        <x:v>0.05</x:v>
      </x:c>
      <x:c r="H12" s="72" t="n">
        <x:v>0.05</x:v>
      </x:c>
      <x:c r="I12" s="91" t="str">
        <x:v>[S3] Competition-provided Valmo data pack</x:v>
      </x:c>
    </x:row>
    <x:row r="13" ht="19" customHeight="1">
      <x:c r="A13" s="2"/>
      <x:c r="B13" s="2"/>
      <x:c r="C13" s="63" t="str">
        <x:v>Weighted RTO rate</x:v>
      </x:c>
      <x:c r="D13" s="70" t="str">
        <x:v>% orders</x:v>
      </x:c>
      <x:c r="E13" s="71" t="n">
        <x:f>E10*E11+(1-E10)*E12</x:f>
        <x:v>0.17000000000000004</x:v>
      </x:c>
      <x:c r="F13" s="73" t="n">
        <x:f>F10*F11+(1-F10)*F12</x:f>
        <x:v>0.17000000000000004</x:v>
      </x:c>
      <x:c r="G13" s="73" t="n">
        <x:f>G10*G11+(1-G10)*G12</x:f>
        <x:v>0.17000000000000004</x:v>
      </x:c>
      <x:c r="H13" s="73" t="n">
        <x:f>H10*H11+(1-H10)*H12</x:f>
        <x:v>0.17000000000000004</x:v>
      </x:c>
      <x:c r="I13" s="91" t="str">
        <x:v>COD share x COD RTO + prepaid share x prepaid RTO</x:v>
      </x:c>
    </x:row>
    <x:row r="14" ht="19" customHeight="1">
      <x:c r="A14" s="2"/>
      <x:c r="B14" s="2"/>
      <x:c r="C14" s="64" t="str">
        <x:v>Share of NMV handled by Valmo</x:v>
      </x:c>
      <x:c r="D14" s="74" t="str">
        <x:v>% NMV</x:v>
      </x:c>
      <x:c r="E14" s="75" t="n">
        <x:f>CHOOSE($D$4,F14,G14,H14)</x:f>
        <x:v>0.6</x:v>
      </x:c>
      <x:c r="F14" s="76" t="n">
        <x:v>0.5</x:v>
      </x:c>
      <x:c r="G14" s="76" t="n">
        <x:v>0.6</x:v>
      </x:c>
      <x:c r="H14" s="76" t="n">
        <x:v>0.7</x:v>
      </x:c>
      <x:c r="I14" s="92" t="str">
        <x:v>Team assumption; validate from company data</x:v>
      </x:c>
    </x:row>
    <x:row r="15" ht="19" customHeight="1">
      <x:c r="A15" s="2"/>
      <x:c r="B15" s="2"/>
      <x:c r="C15" s="65"/>
      <x:c r="D15" s="77"/>
      <x:c r="E15" s="78"/>
      <x:c r="F15" s="79"/>
      <x:c r="G15" s="79"/>
      <x:c r="H15" s="79"/>
      <x:c r="I15" s="93"/>
    </x:row>
    <x:row r="16" ht="20" customHeight="1">
      <x:c r="A16" s="2"/>
      <x:c r="B16" s="2"/>
      <x:c r="C16" s="16" t="str">
        <x:v>PHASE 1: RELOOP RECOVERY</x:v>
      </x:c>
      <x:c r="D16" s="80" t="str">
        <x:v>PHASE 1: RELOOP RECOVERY</x:v>
      </x:c>
      <x:c r="E16" s="81" t="str">
        <x:v>PHASE 1: RELOOP RECOVERY</x:v>
      </x:c>
      <x:c r="F16" s="82" t="str">
        <x:v>PHASE 1: RELOOP RECOVERY</x:v>
      </x:c>
      <x:c r="G16" s="82" t="str">
        <x:v>PHASE 1: RELOOP RECOVERY</x:v>
      </x:c>
      <x:c r="H16" s="82" t="str">
        <x:v>PHASE 1: RELOOP RECOVERY</x:v>
      </x:c>
      <x:c r="I16" s="94" t="str">
        <x:v>PHASE 1: RELOOP RECOVERY</x:v>
      </x:c>
    </x:row>
    <x:row r="17" ht="19" customHeight="1">
      <x:c r="A17" s="2"/>
      <x:c r="B17" s="2"/>
      <x:c r="C17" s="66" t="str">
        <x:v>Driver</x:v>
      </x:c>
      <x:c r="D17" s="83" t="str">
        <x:v>Unit</x:v>
      </x:c>
      <x:c r="E17" s="84" t="str">
        <x:v>Active</x:v>
      </x:c>
      <x:c r="F17" s="85" t="str">
        <x:v>Low</x:v>
      </x:c>
      <x:c r="G17" s="85" t="str">
        <x:v>Base</x:v>
      </x:c>
      <x:c r="H17" s="85" t="str">
        <x:v>High</x:v>
      </x:c>
      <x:c r="I17" s="23" t="str">
        <x:v>Rationale</x:v>
      </x:c>
    </x:row>
    <x:row r="18" ht="19" customHeight="1">
      <x:c r="A18" s="2"/>
      <x:c r="B18" s="2"/>
      <x:c r="C18" s="62" t="str">
        <x:v>RTO stock eligible for recovery</x:v>
      </x:c>
      <x:c r="D18" s="67" t="str">
        <x:v>% RTO value</x:v>
      </x:c>
      <x:c r="E18" s="86" t="n">
        <x:f>CHOOSE($D$4,F18,G18,H18)</x:f>
        <x:v>0.25</x:v>
      </x:c>
      <x:c r="F18" s="87" t="n">
        <x:v>0.15</x:v>
      </x:c>
      <x:c r="G18" s="87" t="n">
        <x:v>0.25</x:v>
      </x:c>
      <x:c r="H18" s="87" t="n">
        <x:v>0.35</x:v>
      </x:c>
      <x:c r="I18" s="90" t="str">
        <x:v>Excludes normal resale-ready returns and valid claims</x:v>
      </x:c>
    </x:row>
    <x:row r="19" ht="19" customHeight="1">
      <x:c r="A19" s="2"/>
      <x:c r="B19" s="2"/>
      <x:c r="C19" s="63" t="str">
        <x:v>Seller opt-in</x:v>
      </x:c>
      <x:c r="D19" s="70" t="str">
        <x:v>% eligible value</x:v>
      </x:c>
      <x:c r="E19" s="71" t="n">
        <x:f>CHOOSE($D$4,F19,G19,H19)</x:f>
        <x:v>0.4</x:v>
      </x:c>
      <x:c r="F19" s="72" t="n">
        <x:v>0.25</x:v>
      </x:c>
      <x:c r="G19" s="72" t="n">
        <x:v>0.4</x:v>
      </x:c>
      <x:c r="H19" s="72" t="n">
        <x:v>0.55</x:v>
      </x:c>
      <x:c r="I19" s="91" t="str">
        <x:v>Voluntary listing of damaged / stranded stock</x:v>
      </x:c>
    </x:row>
    <x:row r="20" ht="19" customHeight="1">
      <x:c r="A20" s="2"/>
      <x:c r="B20" s="2"/>
      <x:c r="C20" s="63" t="str">
        <x:v>Lot sell-through</x:v>
      </x:c>
      <x:c r="D20" s="70" t="str">
        <x:v>% listed value</x:v>
      </x:c>
      <x:c r="E20" s="71" t="n">
        <x:f>CHOOSE($D$4,F20,G20,H20)</x:f>
        <x:v>0.65</x:v>
      </x:c>
      <x:c r="F20" s="72" t="n">
        <x:v>0.5</x:v>
      </x:c>
      <x:c r="G20" s="72" t="n">
        <x:v>0.65</x:v>
      </x:c>
      <x:c r="H20" s="72" t="n">
        <x:v>0.75</x:v>
      </x:c>
      <x:c r="I20" s="91" t="str">
        <x:v>Cleared through auction, Buy Now or Make Offer</x:v>
      </x:c>
    </x:row>
    <x:row r="21" ht="19" customHeight="1">
      <x:c r="A21" s="2"/>
      <x:c r="B21" s="2"/>
      <x:c r="C21" s="63" t="str">
        <x:v>Recovery price</x:v>
      </x:c>
      <x:c r="D21" s="70" t="str">
        <x:v>% original value</x:v>
      </x:c>
      <x:c r="E21" s="71" t="n">
        <x:f>CHOOSE($D$4,F21,G21,H21)</x:f>
        <x:v>0.35</x:v>
      </x:c>
      <x:c r="F21" s="72" t="n">
        <x:v>0.25</x:v>
      </x:c>
      <x:c r="G21" s="72" t="n">
        <x:v>0.35</x:v>
      </x:c>
      <x:c r="H21" s="72" t="n">
        <x:v>0.45</x:v>
      </x:c>
      <x:c r="I21" s="91" t="str">
        <x:v>Realised winning-bid value; requires pilot validation</x:v>
      </x:c>
    </x:row>
    <x:row r="22" ht="19" customHeight="1">
      <x:c r="A22" s="2"/>
      <x:c r="B22" s="2"/>
      <x:c r="C22" s="63" t="str">
        <x:v>Ageing / excess stock pool</x:v>
      </x:c>
      <x:c r="D22" s="70" t="str">
        <x:v>% NMV</x:v>
      </x:c>
      <x:c r="E22" s="71" t="n">
        <x:f>CHOOSE($D$4,F22,G22,H22)</x:f>
        <x:v>0.08</x:v>
      </x:c>
      <x:c r="F22" s="72" t="n">
        <x:v>0.05</x:v>
      </x:c>
      <x:c r="G22" s="72" t="n">
        <x:v>0.08</x:v>
      </x:c>
      <x:c r="H22" s="72" t="n">
        <x:v>0.12</x:v>
      </x:c>
      <x:c r="I22" s="91" t="str">
        <x:v>Team assumption; outside Meesho transaction returns</x:v>
      </x:c>
    </x:row>
    <x:row r="23" ht="19" customHeight="1">
      <x:c r="A23" s="2"/>
      <x:c r="B23" s="2"/>
      <x:c r="C23" s="63" t="str">
        <x:v>Ageing stock listed</x:v>
      </x:c>
      <x:c r="D23" s="70" t="str">
        <x:v>% ageing pool</x:v>
      </x:c>
      <x:c r="E23" s="71" t="n">
        <x:f>CHOOSE($D$4,F23,G23,H23)</x:f>
        <x:v>0.35</x:v>
      </x:c>
      <x:c r="F23" s="72" t="n">
        <x:v>0.2</x:v>
      </x:c>
      <x:c r="G23" s="72" t="n">
        <x:v>0.35</x:v>
      </x:c>
      <x:c r="H23" s="72" t="n">
        <x:v>0.5</x:v>
      </x:c>
      <x:c r="I23" s="91" t="str">
        <x:v>Seller willingness to list obsolete inventory</x:v>
      </x:c>
    </x:row>
    <x:row r="24" ht="19" customHeight="1">
      <x:c r="A24" s="2"/>
      <x:c r="B24" s="2"/>
      <x:c r="C24" s="63" t="str">
        <x:v>Buyer Trust Premium</x:v>
      </x:c>
      <x:c r="D24" s="70" t="str">
        <x:v>% cleared GMV</x:v>
      </x:c>
      <x:c r="E24" s="71" t="n">
        <x:f>CHOOSE($D$4,F24,G24,H24)</x:f>
        <x:v>0.125</x:v>
      </x:c>
      <x:c r="F24" s="72" t="n">
        <x:v>0.1</x:v>
      </x:c>
      <x:c r="G24" s="72" t="n">
        <x:v>0.125</x:v>
      </x:c>
      <x:c r="H24" s="72" t="n">
        <x:v>0.15</x:v>
      </x:c>
      <x:c r="I24" s="91" t="str">
        <x:v>[S4] B-Stock benchmark is 10%</x:v>
      </x:c>
    </x:row>
    <x:row r="25" ht="19" customHeight="1">
      <x:c r="A25" s="2"/>
      <x:c r="B25" s="2"/>
      <x:c r="C25" s="63" t="str">
        <x:v>Year 1 ReLoop ramp</x:v>
      </x:c>
      <x:c r="D25" s="70" t="str">
        <x:v>% steady state</x:v>
      </x:c>
      <x:c r="E25" s="71" t="n">
        <x:f>CHOOSE($D$4,F25,G25,H25)</x:f>
        <x:v>0.44999999999999996</x:v>
      </x:c>
      <x:c r="F25" s="73" t="n">
        <x:f>AVERAGE(D39:D50)</x:f>
        <x:v>0.30000000000000004</x:v>
      </x:c>
      <x:c r="G25" s="73" t="n">
        <x:f>AVERAGE(E39:E50)</x:f>
        <x:v>0.44999999999999996</x:v>
      </x:c>
      <x:c r="H25" s="73" t="n">
        <x:f>AVERAGE(F39:F50)</x:f>
        <x:v>0.6</x:v>
      </x:c>
      <x:c r="I25" s="91" t="str">
        <x:v>Average of monthly ramp table below</x:v>
      </x:c>
    </x:row>
    <x:row r="26" ht="19" customHeight="1">
      <x:c r="A26" s="2"/>
      <x:c r="B26" s="2"/>
      <x:c r="C26" s="64" t="str">
        <x:v>ReLoop variable cost</x:v>
      </x:c>
      <x:c r="D26" s="74" t="str">
        <x:v>% cleared GMV</x:v>
      </x:c>
      <x:c r="E26" s="75" t="n">
        <x:f>CHOOSE($D$4,F26,G26,H26)</x:f>
        <x:v>0.055</x:v>
      </x:c>
      <x:c r="F26" s="76" t="n">
        <x:v>0.07</x:v>
      </x:c>
      <x:c r="G26" s="76" t="n">
        <x:v>0.055</x:v>
      </x:c>
      <x:c r="H26" s="76" t="n">
        <x:v>0.045</x:v>
      </x:c>
      <x:c r="I26" s="92" t="str">
        <x:v>Team assumption: verification, escrow, claims and servicing</x:v>
      </x:c>
    </x:row>
    <x:row r="27" ht="19" customHeight="1">
      <x:c r="A27" s="2"/>
      <x:c r="B27" s="2"/>
      <x:c r="C27" s="65"/>
      <x:c r="D27" s="77"/>
      <x:c r="E27" s="78"/>
      <x:c r="F27" s="79"/>
      <x:c r="G27" s="79"/>
      <x:c r="H27" s="79"/>
      <x:c r="I27" s="93"/>
    </x:row>
    <x:row r="28" ht="20" customHeight="1">
      <x:c r="A28" s="2"/>
      <x:c r="B28" s="2"/>
      <x:c r="C28" s="16" t="str">
        <x:v>PHASE 2: MEESHO SOURCE</x:v>
      </x:c>
      <x:c r="D28" s="80" t="str">
        <x:v>PHASE 2: MEESHO SOURCE</x:v>
      </x:c>
      <x:c r="E28" s="81" t="str">
        <x:v>PHASE 2: MEESHO SOURCE</x:v>
      </x:c>
      <x:c r="F28" s="82" t="str">
        <x:v>PHASE 2: MEESHO SOURCE</x:v>
      </x:c>
      <x:c r="G28" s="82" t="str">
        <x:v>PHASE 2: MEESHO SOURCE</x:v>
      </x:c>
      <x:c r="H28" s="82" t="str">
        <x:v>PHASE 2: MEESHO SOURCE</x:v>
      </x:c>
      <x:c r="I28" s="94" t="str">
        <x:v>PHASE 2: MEESHO SOURCE</x:v>
      </x:c>
    </x:row>
    <x:row r="29" ht="19" customHeight="1">
      <x:c r="A29" s="2"/>
      <x:c r="B29" s="2"/>
      <x:c r="C29" s="66" t="str">
        <x:v>Driver</x:v>
      </x:c>
      <x:c r="D29" s="83" t="str">
        <x:v>Unit</x:v>
      </x:c>
      <x:c r="E29" s="84" t="str">
        <x:v>Active</x:v>
      </x:c>
      <x:c r="F29" s="85" t="str">
        <x:v>Low</x:v>
      </x:c>
      <x:c r="G29" s="85" t="str">
        <x:v>Base</x:v>
      </x:c>
      <x:c r="H29" s="85" t="str">
        <x:v>High</x:v>
      </x:c>
      <x:c r="I29" s="23" t="str">
        <x:v>Rationale</x:v>
      </x:c>
    </x:row>
    <x:row r="30" ht="19" customHeight="1">
      <x:c r="A30" s="2"/>
      <x:c r="B30" s="2"/>
      <x:c r="C30" s="62" t="str">
        <x:v>Seller procurement value</x:v>
      </x:c>
      <x:c r="D30" s="67" t="str">
        <x:v>% NMV</x:v>
      </x:c>
      <x:c r="E30" s="86" t="n">
        <x:f>CHOOSE($D$4,F30,G30,H30)</x:f>
        <x:v>0.55</x:v>
      </x:c>
      <x:c r="F30" s="87" t="n">
        <x:v>0.45</x:v>
      </x:c>
      <x:c r="G30" s="87" t="n">
        <x:v>0.55</x:v>
      </x:c>
      <x:c r="H30" s="87" t="n">
        <x:v>0.65</x:v>
      </x:c>
      <x:c r="I30" s="90" t="str">
        <x:v>Team assumption: cost of goods procured before sale</x:v>
      </x:c>
    </x:row>
    <x:row r="31" ht="19" customHeight="1">
      <x:c r="A31" s="2"/>
      <x:c r="B31" s="2"/>
      <x:c r="C31" s="63" t="str">
        <x:v>Procurement routed through Source</x:v>
      </x:c>
      <x:c r="D31" s="70" t="str">
        <x:v>% procurement</x:v>
      </x:c>
      <x:c r="E31" s="71" t="n">
        <x:f>CHOOSE($D$4,F31,G31,H31)</x:f>
        <x:v>0.35</x:v>
      </x:c>
      <x:c r="F31" s="72" t="n">
        <x:v>0.15</x:v>
      </x:c>
      <x:c r="G31" s="72" t="n">
        <x:v>0.35</x:v>
      </x:c>
      <x:c r="H31" s="72" t="n">
        <x:v>0.5</x:v>
      </x:c>
      <x:c r="I31" s="91" t="str">
        <x:v>Share transacted through verified RFQs / group buys</x:v>
      </x:c>
    </x:row>
    <x:row r="32" ht="19" customHeight="1">
      <x:c r="A32" s="2"/>
      <x:c r="B32" s="2"/>
      <x:c r="C32" s="63" t="str">
        <x:v>Blended Source fee</x:v>
      </x:c>
      <x:c r="D32" s="70" t="str">
        <x:v>% Source GMV</x:v>
      </x:c>
      <x:c r="E32" s="71" t="n">
        <x:f>CHOOSE($D$4,F32,G32,H32)</x:f>
        <x:v>0.045</x:v>
      </x:c>
      <x:c r="F32" s="72" t="n">
        <x:v>0.03</x:v>
      </x:c>
      <x:c r="G32" s="72" t="n">
        <x:v>0.045</x:v>
      </x:c>
      <x:c r="H32" s="72" t="n">
        <x:v>0.06</x:v>
      </x:c>
      <x:c r="I32" s="91" t="str">
        <x:v>Supplier-funded acquisition fee plus capped savings share</x:v>
      </x:c>
    </x:row>
    <x:row r="33" ht="19" customHeight="1">
      <x:c r="A33" s="2"/>
      <x:c r="B33" s="2"/>
      <x:c r="C33" s="63" t="str">
        <x:v>Year 1 Source ramp</x:v>
      </x:c>
      <x:c r="D33" s="70" t="str">
        <x:v>% steady state</x:v>
      </x:c>
      <x:c r="E33" s="71" t="n">
        <x:f>CHOOSE($D$4,F33,G33,H33)</x:f>
        <x:v>0.20000000000000004</x:v>
      </x:c>
      <x:c r="F33" s="73" t="n">
        <x:f>AVERAGE(G39:G50)</x:f>
        <x:v>0.10000000000000002</x:v>
      </x:c>
      <x:c r="G33" s="73" t="n">
        <x:f>AVERAGE(H39:H50)</x:f>
        <x:v>0.20000000000000004</x:v>
      </x:c>
      <x:c r="H33" s="73" t="n">
        <x:f>AVERAGE(I39:I50)</x:f>
        <x:v>0.3</x:v>
      </x:c>
      <x:c r="I33" s="91" t="str">
        <x:v>Phase 2 launches in month 7; average of ramp table</x:v>
      </x:c>
    </x:row>
    <x:row r="34" ht="19" customHeight="1">
      <x:c r="A34" s="2"/>
      <x:c r="B34" s="2"/>
      <x:c r="C34" s="63" t="str">
        <x:v>Source variable cost</x:v>
      </x:c>
      <x:c r="D34" s="70" t="str">
        <x:v>% Source GMV</x:v>
      </x:c>
      <x:c r="E34" s="71" t="n">
        <x:f>CHOOSE($D$4,F34,G34,H34)</x:f>
        <x:v>0.02</x:v>
      </x:c>
      <x:c r="F34" s="72" t="n">
        <x:v>0.025</x:v>
      </x:c>
      <x:c r="G34" s="72" t="n">
        <x:v>0.02</x:v>
      </x:c>
      <x:c r="H34" s="72" t="n">
        <x:v>0.015</x:v>
      </x:c>
      <x:c r="I34" s="91" t="str">
        <x:v>Team assumption: payment, claims, verification and servicing</x:v>
      </x:c>
    </x:row>
    <x:row r="35" ht="19" customHeight="1">
      <x:c r="A35" s="2"/>
      <x:c r="B35" s="2"/>
      <x:c r="C35" s="64" t="str">
        <x:v>Year 1 fixed launch cost</x:v>
      </x:c>
      <x:c r="D35" s="74" t="str">
        <x:v>INR cr</x:v>
      </x:c>
      <x:c r="E35" s="88" t="n">
        <x:f>CHOOSE($D$4,F35,G35,H35)</x:f>
        <x:v>45</x:v>
      </x:c>
      <x:c r="F35" s="89" t="n">
        <x:v>25</x:v>
      </x:c>
      <x:c r="G35" s="89" t="n">
        <x:v>45</x:v>
      </x:c>
      <x:c r="H35" s="89" t="n">
        <x:v>75</x:v>
      </x:c>
      <x:c r="I35" s="92" t="str">
        <x:v>Product, trust, category operations and B2B acquisition</x:v>
      </x:c>
    </x:row>
    <x:row r="36" ht="19" customHeight="1">
      <x:c r="A36" s="2"/>
      <x:c r="B36" s="2"/>
      <x:c r="C36" s="2"/>
      <x:c r="D36" s="2"/>
      <x:c r="E36" s="2"/>
      <x:c r="F36" s="2"/>
      <x:c r="G36" s="2"/>
      <x:c r="H36" s="2"/>
      <x:c r="I36" s="2"/>
    </x:row>
    <x:row r="37" ht="20" customHeight="1">
      <x:c r="A37" s="2"/>
      <x:c r="B37" s="2"/>
      <x:c r="C37" s="16" t="str">
        <x:v>MONTHLY ADOPTION RAMP</x:v>
      </x:c>
      <x:c r="D37" s="17" t="str">
        <x:v>MONTHLY ADOPTION RAMP</x:v>
      </x:c>
      <x:c r="E37" s="17" t="str">
        <x:v>MONTHLY ADOPTION RAMP</x:v>
      </x:c>
      <x:c r="F37" s="17" t="str">
        <x:v>MONTHLY ADOPTION RAMP</x:v>
      </x:c>
      <x:c r="G37" s="17" t="str">
        <x:v>MONTHLY ADOPTION RAMP</x:v>
      </x:c>
      <x:c r="H37" s="17" t="str">
        <x:v>MONTHLY ADOPTION RAMP</x:v>
      </x:c>
      <x:c r="I37" s="18" t="str">
        <x:v>MONTHLY ADOPTION RAMP</x:v>
      </x:c>
    </x:row>
    <x:row r="38" ht="19" customHeight="1">
      <x:c r="A38" s="2"/>
      <x:c r="B38" s="2"/>
      <x:c r="C38" s="23" t="str">
        <x:v>Launch month</x:v>
      </x:c>
      <x:c r="D38" s="23" t="str">
        <x:v>ReLoop Low</x:v>
      </x:c>
      <x:c r="E38" s="23" t="str">
        <x:v>ReLoop Base</x:v>
      </x:c>
      <x:c r="F38" s="23" t="str">
        <x:v>ReLoop High</x:v>
      </x:c>
      <x:c r="G38" s="23" t="str">
        <x:v>Source Low</x:v>
      </x:c>
      <x:c r="H38" s="23" t="str">
        <x:v>Source Base</x:v>
      </x:c>
      <x:c r="I38" s="23" t="str">
        <x:v>Source High</x:v>
      </x:c>
    </x:row>
    <x:row r="39" ht="19" customHeight="1">
      <x:c r="A39" s="2"/>
      <x:c r="B39" s="2"/>
      <x:c r="C39" s="56" t="n">
        <x:v>1</x:v>
      </x:c>
      <x:c r="D39" s="59" t="n">
        <x:v>0.05</x:v>
      </x:c>
      <x:c r="E39" s="59" t="n">
        <x:v>0.1</x:v>
      </x:c>
      <x:c r="F39" s="59" t="n">
        <x:v>0.2</x:v>
      </x:c>
      <x:c r="G39" s="59" t="n">
        <x:v>0</x:v>
      </x:c>
      <x:c r="H39" s="59" t="n">
        <x:v>0</x:v>
      </x:c>
      <x:c r="I39" s="59" t="n">
        <x:v>0</x:v>
      </x:c>
    </x:row>
    <x:row r="40" ht="19" customHeight="1">
      <x:c r="A40" s="2"/>
      <x:c r="B40" s="2"/>
      <x:c r="C40" s="57" t="n">
        <x:v>2</x:v>
      </x:c>
      <x:c r="D40" s="60" t="n">
        <x:v>0.1</x:v>
      </x:c>
      <x:c r="E40" s="60" t="n">
        <x:v>0.15</x:v>
      </x:c>
      <x:c r="F40" s="60" t="n">
        <x:v>0.3</x:v>
      </x:c>
      <x:c r="G40" s="60" t="n">
        <x:v>0</x:v>
      </x:c>
      <x:c r="H40" s="60" t="n">
        <x:v>0</x:v>
      </x:c>
      <x:c r="I40" s="60" t="n">
        <x:v>0</x:v>
      </x:c>
    </x:row>
    <x:row r="41" ht="19" customHeight="1">
      <x:c r="A41" s="2"/>
      <x:c r="B41" s="2"/>
      <x:c r="C41" s="57" t="n">
        <x:v>3</x:v>
      </x:c>
      <x:c r="D41" s="60" t="n">
        <x:v>0.15</x:v>
      </x:c>
      <x:c r="E41" s="60" t="n">
        <x:v>0.2</x:v>
      </x:c>
      <x:c r="F41" s="60" t="n">
        <x:v>0.4</x:v>
      </x:c>
      <x:c r="G41" s="60" t="n">
        <x:v>0</x:v>
      </x:c>
      <x:c r="H41" s="60" t="n">
        <x:v>0</x:v>
      </x:c>
      <x:c r="I41" s="60" t="n">
        <x:v>0</x:v>
      </x:c>
    </x:row>
    <x:row r="42" ht="19" customHeight="1">
      <x:c r="A42" s="2"/>
      <x:c r="B42" s="2"/>
      <x:c r="C42" s="57" t="n">
        <x:v>4</x:v>
      </x:c>
      <x:c r="D42" s="60" t="n">
        <x:v>0.2</x:v>
      </x:c>
      <x:c r="E42" s="60" t="n">
        <x:v>0.3</x:v>
      </x:c>
      <x:c r="F42" s="60" t="n">
        <x:v>0.5</x:v>
      </x:c>
      <x:c r="G42" s="60" t="n">
        <x:v>0</x:v>
      </x:c>
      <x:c r="H42" s="60" t="n">
        <x:v>0</x:v>
      </x:c>
      <x:c r="I42" s="60" t="n">
        <x:v>0</x:v>
      </x:c>
    </x:row>
    <x:row r="43" ht="19" customHeight="1">
      <x:c r="A43" s="2"/>
      <x:c r="B43" s="2"/>
      <x:c r="C43" s="57" t="n">
        <x:v>5</x:v>
      </x:c>
      <x:c r="D43" s="60" t="n">
        <x:v>0.25</x:v>
      </x:c>
      <x:c r="E43" s="60" t="n">
        <x:v>0.4</x:v>
      </x:c>
      <x:c r="F43" s="60" t="n">
        <x:v>0.55</x:v>
      </x:c>
      <x:c r="G43" s="60" t="n">
        <x:v>0</x:v>
      </x:c>
      <x:c r="H43" s="60" t="n">
        <x:v>0</x:v>
      </x:c>
      <x:c r="I43" s="60" t="n">
        <x:v>0</x:v>
      </x:c>
    </x:row>
    <x:row r="44" ht="19" customHeight="1">
      <x:c r="A44" s="2"/>
      <x:c r="B44" s="2"/>
      <x:c r="C44" s="57" t="n">
        <x:v>6</x:v>
      </x:c>
      <x:c r="D44" s="60" t="n">
        <x:v>0.3</x:v>
      </x:c>
      <x:c r="E44" s="60" t="n">
        <x:v>0.45</x:v>
      </x:c>
      <x:c r="F44" s="60" t="n">
        <x:v>0.6</x:v>
      </x:c>
      <x:c r="G44" s="60" t="n">
        <x:v>0</x:v>
      </x:c>
      <x:c r="H44" s="60" t="n">
        <x:v>0</x:v>
      </x:c>
      <x:c r="I44" s="60" t="n">
        <x:v>0</x:v>
      </x:c>
    </x:row>
    <x:row r="45" ht="19" customHeight="1">
      <x:c r="A45" s="2"/>
      <x:c r="B45" s="2"/>
      <x:c r="C45" s="57" t="n">
        <x:v>7</x:v>
      </x:c>
      <x:c r="D45" s="60" t="n">
        <x:v>0.3</x:v>
      </x:c>
      <x:c r="E45" s="60" t="n">
        <x:v>0.5</x:v>
      </x:c>
      <x:c r="F45" s="60" t="n">
        <x:v>0.65</x:v>
      </x:c>
      <x:c r="G45" s="60" t="n">
        <x:v>0.05</x:v>
      </x:c>
      <x:c r="H45" s="60" t="n">
        <x:v>0.1</x:v>
      </x:c>
      <x:c r="I45" s="60" t="n">
        <x:v>0.2</x:v>
      </x:c>
    </x:row>
    <x:row r="46" ht="19" customHeight="1">
      <x:c r="A46" s="2"/>
      <x:c r="B46" s="2"/>
      <x:c r="C46" s="57" t="n">
        <x:v>8</x:v>
      </x:c>
      <x:c r="D46" s="60" t="n">
        <x:v>0.35</x:v>
      </x:c>
      <x:c r="E46" s="60" t="n">
        <x:v>0.55</x:v>
      </x:c>
      <x:c r="F46" s="60" t="n">
        <x:v>0.7</x:v>
      </x:c>
      <x:c r="G46" s="60" t="n">
        <x:v>0.1</x:v>
      </x:c>
      <x:c r="H46" s="60" t="n">
        <x:v>0.2</x:v>
      </x:c>
      <x:c r="I46" s="60" t="n">
        <x:v>0.4</x:v>
      </x:c>
    </x:row>
    <x:row r="47" ht="19" customHeight="1">
      <x:c r="A47" s="2"/>
      <x:c r="B47" s="2"/>
      <x:c r="C47" s="57" t="n">
        <x:v>9</x:v>
      </x:c>
      <x:c r="D47" s="60" t="n">
        <x:v>0.4</x:v>
      </x:c>
      <x:c r="E47" s="60" t="n">
        <x:v>0.6</x:v>
      </x:c>
      <x:c r="F47" s="60" t="n">
        <x:v>0.75</x:v>
      </x:c>
      <x:c r="G47" s="60" t="n">
        <x:v>0.15</x:v>
      </x:c>
      <x:c r="H47" s="60" t="n">
        <x:v>0.3</x:v>
      </x:c>
      <x:c r="I47" s="60" t="n">
        <x:v>0.55</x:v>
      </x:c>
    </x:row>
    <x:row r="48" ht="19" customHeight="1">
      <x:c r="A48" s="2"/>
      <x:c r="B48" s="2"/>
      <x:c r="C48" s="57" t="n">
        <x:v>10</x:v>
      </x:c>
      <x:c r="D48" s="60" t="n">
        <x:v>0.45</x:v>
      </x:c>
      <x:c r="E48" s="60" t="n">
        <x:v>0.65</x:v>
      </x:c>
      <x:c r="F48" s="60" t="n">
        <x:v>0.8</x:v>
      </x:c>
      <x:c r="G48" s="60" t="n">
        <x:v>0.2</x:v>
      </x:c>
      <x:c r="H48" s="60" t="n">
        <x:v>0.4</x:v>
      </x:c>
      <x:c r="I48" s="60" t="n">
        <x:v>0.7</x:v>
      </x:c>
    </x:row>
    <x:row r="49" ht="19" customHeight="1">
      <x:c r="A49" s="2"/>
      <x:c r="B49" s="2"/>
      <x:c r="C49" s="57" t="n">
        <x:v>11</x:v>
      </x:c>
      <x:c r="D49" s="60" t="n">
        <x:v>0.5</x:v>
      </x:c>
      <x:c r="E49" s="60" t="n">
        <x:v>0.7</x:v>
      </x:c>
      <x:c r="F49" s="60" t="n">
        <x:v>0.85</x:v>
      </x:c>
      <x:c r="G49" s="60" t="n">
        <x:v>0.3</x:v>
      </x:c>
      <x:c r="H49" s="60" t="n">
        <x:v>0.6</x:v>
      </x:c>
      <x:c r="I49" s="60" t="n">
        <x:v>0.85</x:v>
      </x:c>
    </x:row>
    <x:row r="50" ht="19" customHeight="1">
      <x:c r="A50" s="2"/>
      <x:c r="B50" s="2"/>
      <x:c r="C50" s="58" t="n">
        <x:v>12</x:v>
      </x:c>
      <x:c r="D50" s="61" t="n">
        <x:v>0.55</x:v>
      </x:c>
      <x:c r="E50" s="61" t="n">
        <x:v>0.8</x:v>
      </x:c>
      <x:c r="F50" s="61" t="n">
        <x:v>0.9</x:v>
      </x:c>
      <x:c r="G50" s="61" t="n">
        <x:v>0.4</x:v>
      </x:c>
      <x:c r="H50" s="61" t="n">
        <x:v>0.8</x:v>
      </x:c>
      <x:c r="I50" s="61" t="n">
        <x:v>0.9</x:v>
      </x:c>
    </x:row>
  </x:sheetData>
  <x:mergeCells>
    <x:mergeCell ref="C2:I2"/>
    <x:mergeCell ref="C3:I3"/>
    <x:mergeCell ref="G4:I4"/>
    <x:mergeCell ref="C6:I6"/>
    <x:mergeCell ref="C16:I16"/>
    <x:mergeCell ref="C28:I28"/>
    <x:mergeCell ref="C37:I37"/>
  </x:mergeCells>
  <x:dataValidations count="1">
    <x:dataValidation type="whole" operator="between" sqref="D4">
      <x:formula1>1</x:formula1>
      <x:formula2>3</x:formula2>
    </x:dataValidation>
  </x:dataValidations>
  <x:pageMargins left="0.7" right="0.7" top="0.75" bottom="0.75" header="0.3" footer="0.3"/>
</x:worksheet>
</file>

<file path=xl/worksheets/sheet3.xml><?xml version="1.0" encoding="utf-8"?>
<x:worksheet xmlns:x="http://schemas.openxmlformats.org/spreadsheetml/2006/main">
  <x:sheetPr>
    <x:tabColor rgb="FF64165B"/>
  </x:sheetPr>
  <x:sheetViews>
    <x:sheetView showGridLines="0" workbookViewId="0">
      <x:pane xSplit="4" ySplit="6" topLeftCell="E7" activePane="bottomRight" state="frozen"/>
    </x:sheetView>
  </x:sheetViews>
  <x:sheetFormatPr defaultRowHeight="15"/>
  <x:cols>
    <x:col min="1" max="1" width="3" hidden="0" customWidth="1"/>
    <x:col min="2" max="2" width="3" hidden="0" customWidth="1"/>
    <x:col min="3" max="3" width="35" hidden="0" customWidth="1"/>
    <x:col min="4" max="4" width="15"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5" hidden="0" customWidth="1"/>
    <x:col min="18" max="18" width="15" hidden="0" customWidth="1"/>
  </x:cols>
  <x:sheetData>
    <x:row r="1">
      <x:c r="A1" s="2"/>
      <x:c r="B1" s="2"/>
      <x:c r="C1" s="2"/>
      <x:c r="D1" s="2"/>
      <x:c r="E1" s="2"/>
      <x:c r="F1" s="2"/>
      <x:c r="G1" s="2"/>
      <x:c r="H1" s="2"/>
      <x:c r="I1" s="2"/>
      <x:c r="J1" s="2"/>
      <x:c r="K1" s="2"/>
      <x:c r="L1" s="2"/>
      <x:c r="M1" s="2"/>
      <x:c r="N1" s="2"/>
      <x:c r="O1" s="2"/>
      <x:c r="P1" s="2"/>
      <x:c r="Q1" s="2"/>
      <x:c r="R1" s="2"/>
    </x:row>
    <x:row r="2" ht="25" customHeight="1">
      <x:c r="A2" s="2"/>
      <x:c r="B2" s="2"/>
      <x:c r="C2" s="386" t="str">
        <x:v>ReLoop and Meesho Source monthly operating model</x:v>
      </x:c>
      <x:c r="D2" s="3" t="str">
        <x:v>ReLoop and Meesho Source monthly operating model</x:v>
      </x:c>
      <x:c r="E2" s="3" t="str">
        <x:v>ReLoop and Meesho Source monthly operating model</x:v>
      </x:c>
      <x:c r="F2" s="3" t="str">
        <x:v>ReLoop and Meesho Source monthly operating model</x:v>
      </x:c>
      <x:c r="G2" s="3" t="str">
        <x:v>ReLoop and Meesho Source monthly operating model</x:v>
      </x:c>
      <x:c r="H2" s="3" t="str">
        <x:v>ReLoop and Meesho Source monthly operating model</x:v>
      </x:c>
      <x:c r="I2" s="3" t="str">
        <x:v>ReLoop and Meesho Source monthly operating model</x:v>
      </x:c>
      <x:c r="J2" s="3" t="str">
        <x:v>ReLoop and Meesho Source monthly operating model</x:v>
      </x:c>
      <x:c r="K2" s="3" t="str">
        <x:v>ReLoop and Meesho Source monthly operating model</x:v>
      </x:c>
      <x:c r="L2" s="3" t="str">
        <x:v>ReLoop and Meesho Source monthly operating model</x:v>
      </x:c>
      <x:c r="M2" s="3" t="str">
        <x:v>ReLoop and Meesho Source monthly operating model</x:v>
      </x:c>
      <x:c r="N2" s="3" t="str">
        <x:v>ReLoop and Meesho Source monthly operating model</x:v>
      </x:c>
      <x:c r="O2" s="3" t="str">
        <x:v>ReLoop and Meesho Source monthly operating model</x:v>
      </x:c>
      <x:c r="P2" s="3" t="str">
        <x:v>ReLoop and Meesho Source monthly operating model</x:v>
      </x:c>
      <x:c r="Q2" s="3" t="str">
        <x:v>ReLoop and Meesho Source monthly operating model</x:v>
      </x:c>
      <x:c r="R2" s="3" t="str">
        <x:v>ReLoop and Meesho Source monthly operating model</x:v>
      </x:c>
    </x:row>
    <x:row r="3">
      <x:c r="A3" s="2"/>
      <x:c r="B3" s="2"/>
      <x:c r="C3" s="2"/>
      <x:c r="D3" s="2"/>
      <x:c r="E3" s="2"/>
      <x:c r="F3" s="2"/>
      <x:c r="G3" s="2"/>
      <x:c r="H3" s="2"/>
      <x:c r="I3" s="2"/>
      <x:c r="J3" s="2"/>
      <x:c r="K3" s="2"/>
      <x:c r="L3" s="2"/>
      <x:c r="M3" s="2"/>
      <x:c r="N3" s="2"/>
      <x:c r="O3" s="2"/>
      <x:c r="P3" s="2"/>
      <x:c r="Q3" s="2"/>
      <x:c r="R3" s="2"/>
    </x:row>
    <x:row r="4">
      <x:c r="A4" s="2"/>
      <x:c r="B4" s="2"/>
      <x:c r="C4" s="95" t="str">
        <x:v>Case selected:</x:v>
      </x:c>
      <x:c r="D4" s="98" t="str">
        <x:f>'Assumptions'!E4</x:f>
        <x:v>Base</x:v>
      </x:c>
      <x:c r="E4" s="4" t="str">
        <x:v>Year 1 uses launch-month ramps; steady state assumes both marketplaces operate at full adoption.</x:v>
      </x:c>
      <x:c r="F4" s="4" t="str">
        <x:v>Year 1 uses launch-month ramps; steady state assumes both marketplaces operate at full adoption.</x:v>
      </x:c>
      <x:c r="G4" s="4" t="str">
        <x:v>Year 1 uses launch-month ramps; steady state assumes both marketplaces operate at full adoption.</x:v>
      </x:c>
      <x:c r="H4" s="4" t="str">
        <x:v>Year 1 uses launch-month ramps; steady state assumes both marketplaces operate at full adoption.</x:v>
      </x:c>
      <x:c r="I4" s="4" t="str">
        <x:v>Year 1 uses launch-month ramps; steady state assumes both marketplaces operate at full adoption.</x:v>
      </x:c>
      <x:c r="J4" s="4" t="str">
        <x:v>Year 1 uses launch-month ramps; steady state assumes both marketplaces operate at full adoption.</x:v>
      </x:c>
      <x:c r="K4" s="4" t="str">
        <x:v>Year 1 uses launch-month ramps; steady state assumes both marketplaces operate at full adoption.</x:v>
      </x:c>
      <x:c r="L4" s="4" t="str">
        <x:v>Year 1 uses launch-month ramps; steady state assumes both marketplaces operate at full adoption.</x:v>
      </x:c>
      <x:c r="M4" s="4" t="str">
        <x:v>Year 1 uses launch-month ramps; steady state assumes both marketplaces operate at full adoption.</x:v>
      </x:c>
      <x:c r="N4" s="4" t="str">
        <x:v>Year 1 uses launch-month ramps; steady state assumes both marketplaces operate at full adoption.</x:v>
      </x:c>
      <x:c r="O4" s="4" t="str">
        <x:v>Year 1 uses launch-month ramps; steady state assumes both marketplaces operate at full adoption.</x:v>
      </x:c>
      <x:c r="P4" s="4" t="str">
        <x:v>Year 1 uses launch-month ramps; steady state assumes both marketplaces operate at full adoption.</x:v>
      </x:c>
      <x:c r="Q4" s="4" t="str">
        <x:v>Year 1 uses launch-month ramps; steady state assumes both marketplaces operate at full adoption.</x:v>
      </x:c>
      <x:c r="R4" s="4" t="str">
        <x:v>Year 1 uses launch-month ramps; steady state assumes both marketplaces operate at full adoption.</x:v>
      </x:c>
    </x:row>
    <x:row r="5">
      <x:c r="A5" s="2"/>
      <x:c r="B5" s="2"/>
      <x:c r="C5" s="2"/>
      <x:c r="D5" s="2"/>
      <x:c r="E5" s="2"/>
      <x:c r="F5" s="2"/>
      <x:c r="G5" s="2"/>
      <x:c r="H5" s="2"/>
      <x:c r="I5" s="2"/>
      <x:c r="J5" s="2"/>
      <x:c r="K5" s="2"/>
      <x:c r="L5" s="2"/>
      <x:c r="M5" s="2"/>
      <x:c r="N5" s="2"/>
      <x:c r="O5" s="2"/>
      <x:c r="P5" s="2"/>
      <x:c r="Q5" s="2"/>
      <x:c r="R5" s="2"/>
    </x:row>
    <x:row r="6" ht="18" customHeight="1">
      <x:c r="A6" s="2"/>
      <x:c r="B6" s="2"/>
      <x:c r="C6" s="23" t="str">
        <x:v>Metric</x:v>
      </x:c>
      <x:c r="D6" s="23" t="str">
        <x:v>Unit</x:v>
      </x:c>
      <x:c r="E6" s="23" t="str">
        <x:v>M1</x:v>
      </x:c>
      <x:c r="F6" s="23" t="str">
        <x:v>M2</x:v>
      </x:c>
      <x:c r="G6" s="23" t="str">
        <x:v>M3</x:v>
      </x:c>
      <x:c r="H6" s="23" t="str">
        <x:v>M4</x:v>
      </x:c>
      <x:c r="I6" s="23" t="str">
        <x:v>M5</x:v>
      </x:c>
      <x:c r="J6" s="23" t="str">
        <x:v>M6</x:v>
      </x:c>
      <x:c r="K6" s="23" t="str">
        <x:v>M7</x:v>
      </x:c>
      <x:c r="L6" s="23" t="str">
        <x:v>M8</x:v>
      </x:c>
      <x:c r="M6" s="23" t="str">
        <x:v>M9</x:v>
      </x:c>
      <x:c r="N6" s="23" t="str">
        <x:v>M10</x:v>
      </x:c>
      <x:c r="O6" s="23" t="str">
        <x:v>M11</x:v>
      </x:c>
      <x:c r="P6" s="23" t="str">
        <x:v>M12</x:v>
      </x:c>
      <x:c r="Q6" s="23" t="str">
        <x:v>Year 1</x:v>
      </x:c>
      <x:c r="R6" s="23" t="str">
        <x:v>Steady state</x:v>
      </x:c>
    </x:row>
    <x:row r="7" ht="18" customHeight="1">
      <x:c r="A7" s="2"/>
      <x:c r="B7" s="2"/>
      <x:c r="C7" s="2"/>
      <x:c r="D7" s="2"/>
      <x:c r="E7" s="2"/>
      <x:c r="F7" s="2"/>
      <x:c r="G7" s="2"/>
      <x:c r="H7" s="2"/>
      <x:c r="I7" s="2"/>
      <x:c r="J7" s="2"/>
      <x:c r="K7" s="2"/>
      <x:c r="L7" s="2"/>
      <x:c r="M7" s="2"/>
      <x:c r="N7" s="2"/>
      <x:c r="O7" s="2"/>
      <x:c r="P7" s="2"/>
      <x:c r="Q7" s="2"/>
      <x:c r="R7" s="2"/>
    </x:row>
    <x:row r="8" ht="18" customHeight="1">
      <x:c r="A8" s="2"/>
      <x:c r="B8" s="2"/>
      <x:c r="C8" s="24" t="str">
        <x:v>Annual NMV basis / 12</x:v>
      </x:c>
      <x:c r="D8" s="24" t="str">
        <x:v>INR cr</x:v>
      </x:c>
      <x:c r="E8" s="146" t="n">
        <x:f>'Assumptions'!$E$8/12</x:f>
        <x:v>3463.3333333333335</x:v>
      </x:c>
      <x:c r="F8" s="146" t="n">
        <x:f>'Assumptions'!$E$8/12</x:f>
        <x:v>3463.3333333333335</x:v>
      </x:c>
      <x:c r="G8" s="146" t="n">
        <x:f>'Assumptions'!$E$8/12</x:f>
        <x:v>3463.3333333333335</x:v>
      </x:c>
      <x:c r="H8" s="146" t="n">
        <x:f>'Assumptions'!$E$8/12</x:f>
        <x:v>3463.3333333333335</x:v>
      </x:c>
      <x:c r="I8" s="146" t="n">
        <x:f>'Assumptions'!$E$8/12</x:f>
        <x:v>3463.3333333333335</x:v>
      </x:c>
      <x:c r="J8" s="146" t="n">
        <x:f>'Assumptions'!$E$8/12</x:f>
        <x:v>3463.3333333333335</x:v>
      </x:c>
      <x:c r="K8" s="146" t="n">
        <x:f>'Assumptions'!$E$8/12</x:f>
        <x:v>3463.3333333333335</x:v>
      </x:c>
      <x:c r="L8" s="146" t="n">
        <x:f>'Assumptions'!$E$8/12</x:f>
        <x:v>3463.3333333333335</x:v>
      </x:c>
      <x:c r="M8" s="146" t="n">
        <x:f>'Assumptions'!$E$8/12</x:f>
        <x:v>3463.3333333333335</x:v>
      </x:c>
      <x:c r="N8" s="146" t="n">
        <x:f>'Assumptions'!$E$8/12</x:f>
        <x:v>3463.3333333333335</x:v>
      </x:c>
      <x:c r="O8" s="146" t="n">
        <x:f>'Assumptions'!$E$8/12</x:f>
        <x:v>3463.3333333333335</x:v>
      </x:c>
      <x:c r="P8" s="146" t="n">
        <x:f>'Assumptions'!$E$8/12</x:f>
        <x:v>3463.3333333333335</x:v>
      </x:c>
      <x:c r="Q8" s="128" t="n">
        <x:f>SUM(E8:P8)</x:f>
        <x:v>41560</x:v>
      </x:c>
      <x:c r="R8" s="128" t="n">
        <x:f>'Assumptions'!$E$8</x:f>
        <x:v>41560</x:v>
      </x:c>
    </x:row>
    <x:row r="9" ht="18" customHeight="1">
      <x:c r="A9" s="2"/>
      <x:c r="B9" s="2"/>
      <x:c r="C9" s="25" t="str">
        <x:v>ReLoop ramp</x:v>
      </x:c>
      <x:c r="D9" s="25" t="str">
        <x:v>% steady state</x:v>
      </x:c>
      <x:c r="E9" s="147" t="n">
        <x:f>CHOOSE('Assumptions'!$D$4,'Assumptions'!D39,'Assumptions'!E39,'Assumptions'!F39)</x:f>
        <x:v>0.1</x:v>
      </x:c>
      <x:c r="F9" s="147" t="n">
        <x:f>CHOOSE('Assumptions'!$D$4,'Assumptions'!D40,'Assumptions'!E40,'Assumptions'!F40)</x:f>
        <x:v>0.15</x:v>
      </x:c>
      <x:c r="G9" s="147" t="n">
        <x:f>CHOOSE('Assumptions'!$D$4,'Assumptions'!D41,'Assumptions'!E41,'Assumptions'!F41)</x:f>
        <x:v>0.2</x:v>
      </x:c>
      <x:c r="H9" s="147" t="n">
        <x:f>CHOOSE('Assumptions'!$D$4,'Assumptions'!D42,'Assumptions'!E42,'Assumptions'!F42)</x:f>
        <x:v>0.3</x:v>
      </x:c>
      <x:c r="I9" s="147" t="n">
        <x:f>CHOOSE('Assumptions'!$D$4,'Assumptions'!D43,'Assumptions'!E43,'Assumptions'!F43)</x:f>
        <x:v>0.4</x:v>
      </x:c>
      <x:c r="J9" s="147" t="n">
        <x:f>CHOOSE('Assumptions'!$D$4,'Assumptions'!D44,'Assumptions'!E44,'Assumptions'!F44)</x:f>
        <x:v>0.45</x:v>
      </x:c>
      <x:c r="K9" s="147" t="n">
        <x:f>CHOOSE('Assumptions'!$D$4,'Assumptions'!D45,'Assumptions'!E45,'Assumptions'!F45)</x:f>
        <x:v>0.5</x:v>
      </x:c>
      <x:c r="L9" s="147" t="n">
        <x:f>CHOOSE('Assumptions'!$D$4,'Assumptions'!D46,'Assumptions'!E46,'Assumptions'!F46)</x:f>
        <x:v>0.55</x:v>
      </x:c>
      <x:c r="M9" s="147" t="n">
        <x:f>CHOOSE('Assumptions'!$D$4,'Assumptions'!D47,'Assumptions'!E47,'Assumptions'!F47)</x:f>
        <x:v>0.6</x:v>
      </x:c>
      <x:c r="N9" s="147" t="n">
        <x:f>CHOOSE('Assumptions'!$D$4,'Assumptions'!D48,'Assumptions'!E48,'Assumptions'!F48)</x:f>
        <x:v>0.65</x:v>
      </x:c>
      <x:c r="O9" s="147" t="n">
        <x:f>CHOOSE('Assumptions'!$D$4,'Assumptions'!D49,'Assumptions'!E49,'Assumptions'!F49)</x:f>
        <x:v>0.7</x:v>
      </x:c>
      <x:c r="P9" s="147" t="n">
        <x:f>CHOOSE('Assumptions'!$D$4,'Assumptions'!D50,'Assumptions'!E50,'Assumptions'!F50)</x:f>
        <x:v>0.8</x:v>
      </x:c>
      <x:c r="Q9" s="129" t="n">
        <x:f>AVERAGE(E9:P9)</x:f>
        <x:v>0.44999999999999996</x:v>
      </x:c>
      <x:c r="R9" s="129" t="n">
        <x:v>1</x:v>
      </x:c>
    </x:row>
    <x:row r="10" ht="18" customHeight="1">
      <x:c r="A10" s="2"/>
      <x:c r="B10" s="2"/>
      <x:c r="C10" s="26" t="str">
        <x:v>Source ramp</x:v>
      </x:c>
      <x:c r="D10" s="26" t="str">
        <x:v>% steady state</x:v>
      </x:c>
      <x:c r="E10" s="148" t="n">
        <x:f>CHOOSE('Assumptions'!$D$4,'Assumptions'!G39,'Assumptions'!H39,'Assumptions'!I39)</x:f>
        <x:v>0</x:v>
      </x:c>
      <x:c r="F10" s="148" t="n">
        <x:f>CHOOSE('Assumptions'!$D$4,'Assumptions'!G40,'Assumptions'!H40,'Assumptions'!I40)</x:f>
        <x:v>0</x:v>
      </x:c>
      <x:c r="G10" s="148" t="n">
        <x:f>CHOOSE('Assumptions'!$D$4,'Assumptions'!G41,'Assumptions'!H41,'Assumptions'!I41)</x:f>
        <x:v>0</x:v>
      </x:c>
      <x:c r="H10" s="148" t="n">
        <x:f>CHOOSE('Assumptions'!$D$4,'Assumptions'!G42,'Assumptions'!H42,'Assumptions'!I42)</x:f>
        <x:v>0</x:v>
      </x:c>
      <x:c r="I10" s="148" t="n">
        <x:f>CHOOSE('Assumptions'!$D$4,'Assumptions'!G43,'Assumptions'!H43,'Assumptions'!I43)</x:f>
        <x:v>0</x:v>
      </x:c>
      <x:c r="J10" s="148" t="n">
        <x:f>CHOOSE('Assumptions'!$D$4,'Assumptions'!G44,'Assumptions'!H44,'Assumptions'!I44)</x:f>
        <x:v>0</x:v>
      </x:c>
      <x:c r="K10" s="148" t="n">
        <x:f>CHOOSE('Assumptions'!$D$4,'Assumptions'!G45,'Assumptions'!H45,'Assumptions'!I45)</x:f>
        <x:v>0.1</x:v>
      </x:c>
      <x:c r="L10" s="148" t="n">
        <x:f>CHOOSE('Assumptions'!$D$4,'Assumptions'!G46,'Assumptions'!H46,'Assumptions'!I46)</x:f>
        <x:v>0.2</x:v>
      </x:c>
      <x:c r="M10" s="148" t="n">
        <x:f>CHOOSE('Assumptions'!$D$4,'Assumptions'!G47,'Assumptions'!H47,'Assumptions'!I47)</x:f>
        <x:v>0.3</x:v>
      </x:c>
      <x:c r="N10" s="148" t="n">
        <x:f>CHOOSE('Assumptions'!$D$4,'Assumptions'!G48,'Assumptions'!H48,'Assumptions'!I48)</x:f>
        <x:v>0.4</x:v>
      </x:c>
      <x:c r="O10" s="148" t="n">
        <x:f>CHOOSE('Assumptions'!$D$4,'Assumptions'!G49,'Assumptions'!H49,'Assumptions'!I49)</x:f>
        <x:v>0.6</x:v>
      </x:c>
      <x:c r="P10" s="148" t="n">
        <x:f>CHOOSE('Assumptions'!$D$4,'Assumptions'!G50,'Assumptions'!H50,'Assumptions'!I50)</x:f>
        <x:v>0.8</x:v>
      </x:c>
      <x:c r="Q10" s="130" t="n">
        <x:f>AVERAGE(E10:P10)</x:f>
        <x:v>0.20000000000000004</x:v>
      </x:c>
      <x:c r="R10" s="130" t="n">
        <x:v>1</x:v>
      </x:c>
    </x:row>
    <x:row r="11" ht="18" customHeight="1">
      <x:c r="A11" s="2"/>
      <x:c r="B11" s="2"/>
      <x:c r="C11" s="2"/>
      <x:c r="D11" s="2"/>
      <x:c r="E11" s="117"/>
      <x:c r="F11" s="117"/>
      <x:c r="G11" s="117"/>
      <x:c r="H11" s="117"/>
      <x:c r="I11" s="117"/>
      <x:c r="J11" s="117"/>
      <x:c r="K11" s="117"/>
      <x:c r="L11" s="117"/>
      <x:c r="M11" s="117"/>
      <x:c r="N11" s="117"/>
      <x:c r="O11" s="117"/>
      <x:c r="P11" s="117"/>
      <x:c r="Q11" s="131"/>
      <x:c r="R11" s="131"/>
    </x:row>
    <x:row r="12" ht="18" customHeight="1">
      <x:c r="A12" s="2"/>
      <x:c r="B12" s="2"/>
      <x:c r="C12" s="16" t="str">
        <x:v>PHASE 1: RELOOP RECOVERY</x:v>
      </x:c>
      <x:c r="D12" s="17" t="str">
        <x:v>PHASE 1: RELOOP RECOVERY</x:v>
      </x:c>
      <x:c r="E12" s="118" t="str">
        <x:v>PHASE 1: RELOOP RECOVERY</x:v>
      </x:c>
      <x:c r="F12" s="118" t="str">
        <x:v>PHASE 1: RELOOP RECOVERY</x:v>
      </x:c>
      <x:c r="G12" s="118" t="str">
        <x:v>PHASE 1: RELOOP RECOVERY</x:v>
      </x:c>
      <x:c r="H12" s="118" t="str">
        <x:v>PHASE 1: RELOOP RECOVERY</x:v>
      </x:c>
      <x:c r="I12" s="118" t="str">
        <x:v>PHASE 1: RELOOP RECOVERY</x:v>
      </x:c>
      <x:c r="J12" s="118" t="str">
        <x:v>PHASE 1: RELOOP RECOVERY</x:v>
      </x:c>
      <x:c r="K12" s="118" t="str">
        <x:v>PHASE 1: RELOOP RECOVERY</x:v>
      </x:c>
      <x:c r="L12" s="118" t="str">
        <x:v>PHASE 1: RELOOP RECOVERY</x:v>
      </x:c>
      <x:c r="M12" s="118" t="str">
        <x:v>PHASE 1: RELOOP RECOVERY</x:v>
      </x:c>
      <x:c r="N12" s="118" t="str">
        <x:v>PHASE 1: RELOOP RECOVERY</x:v>
      </x:c>
      <x:c r="O12" s="118" t="str">
        <x:v>PHASE 1: RELOOP RECOVERY</x:v>
      </x:c>
      <x:c r="P12" s="118" t="str">
        <x:v>PHASE 1: RELOOP RECOVERY</x:v>
      </x:c>
      <x:c r="Q12" s="156" t="str">
        <x:v>PHASE 1: RELOOP RECOVERY</x:v>
      </x:c>
      <x:c r="R12" s="157" t="str">
        <x:v>PHASE 1: RELOOP RECOVERY</x:v>
      </x:c>
    </x:row>
    <x:row r="13" ht="18" customHeight="1">
      <x:c r="A13" s="2"/>
      <x:c r="B13" s="2"/>
      <x:c r="C13" s="24" t="str">
        <x:v>Valmo-addressable NMV</x:v>
      </x:c>
      <x:c r="D13" s="24" t="str">
        <x:v>INR cr</x:v>
      </x:c>
      <x:c r="E13" s="146" t="n">
        <x:f>E8*'Assumptions'!$E$14</x:f>
        <x:v>2078</x:v>
      </x:c>
      <x:c r="F13" s="146" t="n">
        <x:f>F8*'Assumptions'!$E$14</x:f>
        <x:v>2078</x:v>
      </x:c>
      <x:c r="G13" s="146" t="n">
        <x:f>G8*'Assumptions'!$E$14</x:f>
        <x:v>2078</x:v>
      </x:c>
      <x:c r="H13" s="146" t="n">
        <x:f>H8*'Assumptions'!$E$14</x:f>
        <x:v>2078</x:v>
      </x:c>
      <x:c r="I13" s="146" t="n">
        <x:f>I8*'Assumptions'!$E$14</x:f>
        <x:v>2078</x:v>
      </x:c>
      <x:c r="J13" s="146" t="n">
        <x:f>J8*'Assumptions'!$E$14</x:f>
        <x:v>2078</x:v>
      </x:c>
      <x:c r="K13" s="146" t="n">
        <x:f>K8*'Assumptions'!$E$14</x:f>
        <x:v>2078</x:v>
      </x:c>
      <x:c r="L13" s="146" t="n">
        <x:f>L8*'Assumptions'!$E$14</x:f>
        <x:v>2078</x:v>
      </x:c>
      <x:c r="M13" s="146" t="n">
        <x:f>M8*'Assumptions'!$E$14</x:f>
        <x:v>2078</x:v>
      </x:c>
      <x:c r="N13" s="146" t="n">
        <x:f>N8*'Assumptions'!$E$14</x:f>
        <x:v>2078</x:v>
      </x:c>
      <x:c r="O13" s="146" t="n">
        <x:f>O8*'Assumptions'!$E$14</x:f>
        <x:v>2078</x:v>
      </x:c>
      <x:c r="P13" s="146" t="n">
        <x:f>P8*'Assumptions'!$E$14</x:f>
        <x:v>2078</x:v>
      </x:c>
      <x:c r="Q13" s="128" t="n">
        <x:f>SUM(E13:P13)</x:f>
        <x:v>24936</x:v>
      </x:c>
      <x:c r="R13" s="128" t="n">
        <x:f>R8*'Assumptions'!$E$14</x:f>
        <x:v>24936</x:v>
      </x:c>
    </x:row>
    <x:row r="14" ht="18" customHeight="1">
      <x:c r="A14" s="2"/>
      <x:c r="B14" s="2"/>
      <x:c r="C14" s="25" t="str">
        <x:v>RTO original merchandise value</x:v>
      </x:c>
      <x:c r="D14" s="25" t="str">
        <x:v>INR cr</x:v>
      </x:c>
      <x:c r="E14" s="149" t="n">
        <x:f>E13*'Assumptions'!$E$13</x:f>
        <x:v>353.2600000000001</x:v>
      </x:c>
      <x:c r="F14" s="149" t="n">
        <x:f>F13*'Assumptions'!$E$13</x:f>
        <x:v>353.2600000000001</x:v>
      </x:c>
      <x:c r="G14" s="149" t="n">
        <x:f>G13*'Assumptions'!$E$13</x:f>
        <x:v>353.2600000000001</x:v>
      </x:c>
      <x:c r="H14" s="149" t="n">
        <x:f>H13*'Assumptions'!$E$13</x:f>
        <x:v>353.2600000000001</x:v>
      </x:c>
      <x:c r="I14" s="149" t="n">
        <x:f>I13*'Assumptions'!$E$13</x:f>
        <x:v>353.2600000000001</x:v>
      </x:c>
      <x:c r="J14" s="149" t="n">
        <x:f>J13*'Assumptions'!$E$13</x:f>
        <x:v>353.2600000000001</x:v>
      </x:c>
      <x:c r="K14" s="149" t="n">
        <x:f>K13*'Assumptions'!$E$13</x:f>
        <x:v>353.2600000000001</x:v>
      </x:c>
      <x:c r="L14" s="149" t="n">
        <x:f>L13*'Assumptions'!$E$13</x:f>
        <x:v>353.2600000000001</x:v>
      </x:c>
      <x:c r="M14" s="149" t="n">
        <x:f>M13*'Assumptions'!$E$13</x:f>
        <x:v>353.2600000000001</x:v>
      </x:c>
      <x:c r="N14" s="149" t="n">
        <x:f>N13*'Assumptions'!$E$13</x:f>
        <x:v>353.2600000000001</x:v>
      </x:c>
      <x:c r="O14" s="149" t="n">
        <x:f>O13*'Assumptions'!$E$13</x:f>
        <x:v>353.2600000000001</x:v>
      </x:c>
      <x:c r="P14" s="149" t="n">
        <x:f>P13*'Assumptions'!$E$13</x:f>
        <x:v>353.2600000000001</x:v>
      </x:c>
      <x:c r="Q14" s="134" t="n">
        <x:f>SUM(E14:P14)</x:f>
        <x:v>4239.120000000002</x:v>
      </x:c>
      <x:c r="R14" s="134" t="n">
        <x:f>R13*'Assumptions'!$E$13</x:f>
        <x:v>4239.120000000001</x:v>
      </x:c>
    </x:row>
    <x:row r="15" ht="18" customHeight="1">
      <x:c r="A15" s="2"/>
      <x:c r="B15" s="2"/>
      <x:c r="C15" s="25" t="str">
        <x:v>RTO value eligible for recovery</x:v>
      </x:c>
      <x:c r="D15" s="25" t="str">
        <x:v>INR cr</x:v>
      </x:c>
      <x:c r="E15" s="149" t="n">
        <x:f>E14*'Assumptions'!$E$18</x:f>
        <x:v>88.31500000000003</x:v>
      </x:c>
      <x:c r="F15" s="149" t="n">
        <x:f>F14*'Assumptions'!$E$18</x:f>
        <x:v>88.31500000000003</x:v>
      </x:c>
      <x:c r="G15" s="149" t="n">
        <x:f>G14*'Assumptions'!$E$18</x:f>
        <x:v>88.31500000000003</x:v>
      </x:c>
      <x:c r="H15" s="149" t="n">
        <x:f>H14*'Assumptions'!$E$18</x:f>
        <x:v>88.31500000000003</x:v>
      </x:c>
      <x:c r="I15" s="149" t="n">
        <x:f>I14*'Assumptions'!$E$18</x:f>
        <x:v>88.31500000000003</x:v>
      </x:c>
      <x:c r="J15" s="149" t="n">
        <x:f>J14*'Assumptions'!$E$18</x:f>
        <x:v>88.31500000000003</x:v>
      </x:c>
      <x:c r="K15" s="149" t="n">
        <x:f>K14*'Assumptions'!$E$18</x:f>
        <x:v>88.31500000000003</x:v>
      </x:c>
      <x:c r="L15" s="149" t="n">
        <x:f>L14*'Assumptions'!$E$18</x:f>
        <x:v>88.31500000000003</x:v>
      </x:c>
      <x:c r="M15" s="149" t="n">
        <x:f>M14*'Assumptions'!$E$18</x:f>
        <x:v>88.31500000000003</x:v>
      </x:c>
      <x:c r="N15" s="149" t="n">
        <x:f>N14*'Assumptions'!$E$18</x:f>
        <x:v>88.31500000000003</x:v>
      </x:c>
      <x:c r="O15" s="149" t="n">
        <x:f>O14*'Assumptions'!$E$18</x:f>
        <x:v>88.31500000000003</x:v>
      </x:c>
      <x:c r="P15" s="149" t="n">
        <x:f>P14*'Assumptions'!$E$18</x:f>
        <x:v>88.31500000000003</x:v>
      </x:c>
      <x:c r="Q15" s="134" t="n">
        <x:f>SUM(E15:P15)</x:f>
        <x:v>1059.7800000000004</x:v>
      </x:c>
      <x:c r="R15" s="134" t="n">
        <x:f>R14*'Assumptions'!$E$18</x:f>
        <x:v>1059.7800000000002</x:v>
      </x:c>
    </x:row>
    <x:row r="16" ht="18" customHeight="1">
      <x:c r="A16" s="2"/>
      <x:c r="B16" s="2"/>
      <x:c r="C16" s="25" t="str">
        <x:v>Seller opted-in RTO value</x:v>
      </x:c>
      <x:c r="D16" s="25" t="str">
        <x:v>INR cr</x:v>
      </x:c>
      <x:c r="E16" s="149" t="n">
        <x:f>E15*'Assumptions'!$E$19</x:f>
        <x:v>35.326000000000015</x:v>
      </x:c>
      <x:c r="F16" s="149" t="n">
        <x:f>F15*'Assumptions'!$E$19</x:f>
        <x:v>35.326000000000015</x:v>
      </x:c>
      <x:c r="G16" s="149" t="n">
        <x:f>G15*'Assumptions'!$E$19</x:f>
        <x:v>35.326000000000015</x:v>
      </x:c>
      <x:c r="H16" s="149" t="n">
        <x:f>H15*'Assumptions'!$E$19</x:f>
        <x:v>35.326000000000015</x:v>
      </x:c>
      <x:c r="I16" s="149" t="n">
        <x:f>I15*'Assumptions'!$E$19</x:f>
        <x:v>35.326000000000015</x:v>
      </x:c>
      <x:c r="J16" s="149" t="n">
        <x:f>J15*'Assumptions'!$E$19</x:f>
        <x:v>35.326000000000015</x:v>
      </x:c>
      <x:c r="K16" s="149" t="n">
        <x:f>K15*'Assumptions'!$E$19</x:f>
        <x:v>35.326000000000015</x:v>
      </x:c>
      <x:c r="L16" s="149" t="n">
        <x:f>L15*'Assumptions'!$E$19</x:f>
        <x:v>35.326000000000015</x:v>
      </x:c>
      <x:c r="M16" s="149" t="n">
        <x:f>M15*'Assumptions'!$E$19</x:f>
        <x:v>35.326000000000015</x:v>
      </x:c>
      <x:c r="N16" s="149" t="n">
        <x:f>N15*'Assumptions'!$E$19</x:f>
        <x:v>35.326000000000015</x:v>
      </x:c>
      <x:c r="O16" s="149" t="n">
        <x:f>O15*'Assumptions'!$E$19</x:f>
        <x:v>35.326000000000015</x:v>
      </x:c>
      <x:c r="P16" s="149" t="n">
        <x:f>P15*'Assumptions'!$E$19</x:f>
        <x:v>35.326000000000015</x:v>
      </x:c>
      <x:c r="Q16" s="134" t="n">
        <x:f>SUM(E16:P16)</x:f>
        <x:v>423.9120000000002</x:v>
      </x:c>
      <x:c r="R16" s="134" t="n">
        <x:f>R15*'Assumptions'!$E$19</x:f>
        <x:v>423.9120000000001</x:v>
      </x:c>
    </x:row>
    <x:row r="17" ht="18" customHeight="1">
      <x:c r="A17" s="2"/>
      <x:c r="B17" s="2"/>
      <x:c r="C17" s="25" t="str">
        <x:v>Cleared RTO original value</x:v>
      </x:c>
      <x:c r="D17" s="25" t="str">
        <x:v>INR cr</x:v>
      </x:c>
      <x:c r="E17" s="149" t="n">
        <x:f>E16*'Assumptions'!$E$20*E9</x:f>
        <x:v>2.296190000000001</x:v>
      </x:c>
      <x:c r="F17" s="149" t="n">
        <x:f>F16*'Assumptions'!$E$20*F9</x:f>
        <x:v>3.4442850000000016</x:v>
      </x:c>
      <x:c r="G17" s="149" t="n">
        <x:f>G16*'Assumptions'!$E$20*G9</x:f>
        <x:v>4.592380000000002</x:v>
      </x:c>
      <x:c r="H17" s="149" t="n">
        <x:f>H16*'Assumptions'!$E$20*H9</x:f>
        <x:v>6.888570000000003</x:v>
      </x:c>
      <x:c r="I17" s="149" t="n">
        <x:f>I16*'Assumptions'!$E$20*I9</x:f>
        <x:v>9.184760000000004</x:v>
      </x:c>
      <x:c r="J17" s="149" t="n">
        <x:f>J16*'Assumptions'!$E$20*J9</x:f>
        <x:v>10.332855000000006</x:v>
      </x:c>
      <x:c r="K17" s="149" t="n">
        <x:f>K16*'Assumptions'!$E$20*K9</x:f>
        <x:v>11.480950000000005</x:v>
      </x:c>
      <x:c r="L17" s="149" t="n">
        <x:f>L16*'Assumptions'!$E$20*L9</x:f>
        <x:v>12.629045000000007</x:v>
      </x:c>
      <x:c r="M17" s="149" t="n">
        <x:f>M16*'Assumptions'!$E$20*M9</x:f>
        <x:v>13.777140000000006</x:v>
      </x:c>
      <x:c r="N17" s="149" t="n">
        <x:f>N16*'Assumptions'!$E$20*N9</x:f>
        <x:v>14.925235000000008</x:v>
      </x:c>
      <x:c r="O17" s="149" t="n">
        <x:f>O16*'Assumptions'!$E$20*O9</x:f>
        <x:v>16.073330000000006</x:v>
      </x:c>
      <x:c r="P17" s="149" t="n">
        <x:f>P16*'Assumptions'!$E$20*P9</x:f>
        <x:v>18.36952000000001</x:v>
      </x:c>
      <x:c r="Q17" s="134" t="n">
        <x:f>SUM(E17:P17)</x:f>
        <x:v>123.99426000000004</x:v>
      </x:c>
      <x:c r="R17" s="134" t="n">
        <x:f>R16*'Assumptions'!$E$20</x:f>
        <x:v>275.54280000000006</x:v>
      </x:c>
    </x:row>
    <x:row r="18" ht="18" customHeight="1">
      <x:c r="A18" s="2"/>
      <x:c r="B18" s="2"/>
      <x:c r="C18" s="25" t="str">
        <x:v>RTO winning-bid GMV</x:v>
      </x:c>
      <x:c r="D18" s="25" t="str">
        <x:v>INR cr</x:v>
      </x:c>
      <x:c r="E18" s="149" t="n">
        <x:f>E17*'Assumptions'!$E$21</x:f>
        <x:v>0.8036665000000003</x:v>
      </x:c>
      <x:c r="F18" s="149" t="n">
        <x:f>F17*'Assumptions'!$E$21</x:f>
        <x:v>1.2054997500000004</x:v>
      </x:c>
      <x:c r="G18" s="149" t="n">
        <x:f>G17*'Assumptions'!$E$21</x:f>
        <x:v>1.6073330000000006</x:v>
      </x:c>
      <x:c r="H18" s="149" t="n">
        <x:f>H17*'Assumptions'!$E$21</x:f>
        <x:v>2.410999500000001</x:v>
      </x:c>
      <x:c r="I18" s="149" t="n">
        <x:f>I17*'Assumptions'!$E$21</x:f>
        <x:v>3.214666000000001</x:v>
      </x:c>
      <x:c r="J18" s="149" t="n">
        <x:f>J17*'Assumptions'!$E$21</x:f>
        <x:v>3.6164992500000017</x:v>
      </x:c>
      <x:c r="K18" s="149" t="n">
        <x:f>K17*'Assumptions'!$E$21</x:f>
        <x:v>4.018332500000001</x:v>
      </x:c>
      <x:c r="L18" s="149" t="n">
        <x:f>L17*'Assumptions'!$E$21</x:f>
        <x:v>4.4201657500000024</x:v>
      </x:c>
      <x:c r="M18" s="149" t="n">
        <x:f>M17*'Assumptions'!$E$21</x:f>
        <x:v>4.821999000000002</x:v>
      </x:c>
      <x:c r="N18" s="149" t="n">
        <x:f>N17*'Assumptions'!$E$21</x:f>
        <x:v>5.223832250000003</x:v>
      </x:c>
      <x:c r="O18" s="149" t="n">
        <x:f>O17*'Assumptions'!$E$21</x:f>
        <x:v>5.625665500000002</x:v>
      </x:c>
      <x:c r="P18" s="149" t="n">
        <x:f>P17*'Assumptions'!$E$21</x:f>
        <x:v>6.429332000000002</x:v>
      </x:c>
      <x:c r="Q18" s="134" t="n">
        <x:f>SUM(E18:P18)</x:f>
        <x:v>43.39799100000002</x:v>
      </x:c>
      <x:c r="R18" s="134" t="n">
        <x:f>R17*'Assumptions'!$E$21</x:f>
        <x:v>96.43998000000002</x:v>
      </x:c>
    </x:row>
    <x:row r="19" ht="18" customHeight="1">
      <x:c r="A19" s="2"/>
      <x:c r="B19" s="2"/>
      <x:c r="C19" s="25" t="str">
        <x:v>Ageing stock listed original value</x:v>
      </x:c>
      <x:c r="D19" s="25" t="str">
        <x:v>INR cr</x:v>
      </x:c>
      <x:c r="E19" s="149" t="n">
        <x:f>E8*'Assumptions'!$E$22*'Assumptions'!$E$23</x:f>
        <x:v>96.97333333333333</x:v>
      </x:c>
      <x:c r="F19" s="149" t="n">
        <x:f>F8*'Assumptions'!$E$22*'Assumptions'!$E$23</x:f>
        <x:v>96.97333333333333</x:v>
      </x:c>
      <x:c r="G19" s="149" t="n">
        <x:f>G8*'Assumptions'!$E$22*'Assumptions'!$E$23</x:f>
        <x:v>96.97333333333333</x:v>
      </x:c>
      <x:c r="H19" s="149" t="n">
        <x:f>H8*'Assumptions'!$E$22*'Assumptions'!$E$23</x:f>
        <x:v>96.97333333333333</x:v>
      </x:c>
      <x:c r="I19" s="149" t="n">
        <x:f>I8*'Assumptions'!$E$22*'Assumptions'!$E$23</x:f>
        <x:v>96.97333333333333</x:v>
      </x:c>
      <x:c r="J19" s="149" t="n">
        <x:f>J8*'Assumptions'!$E$22*'Assumptions'!$E$23</x:f>
        <x:v>96.97333333333333</x:v>
      </x:c>
      <x:c r="K19" s="149" t="n">
        <x:f>K8*'Assumptions'!$E$22*'Assumptions'!$E$23</x:f>
        <x:v>96.97333333333333</x:v>
      </x:c>
      <x:c r="L19" s="149" t="n">
        <x:f>L8*'Assumptions'!$E$22*'Assumptions'!$E$23</x:f>
        <x:v>96.97333333333333</x:v>
      </x:c>
      <x:c r="M19" s="149" t="n">
        <x:f>M8*'Assumptions'!$E$22*'Assumptions'!$E$23</x:f>
        <x:v>96.97333333333333</x:v>
      </x:c>
      <x:c r="N19" s="149" t="n">
        <x:f>N8*'Assumptions'!$E$22*'Assumptions'!$E$23</x:f>
        <x:v>96.97333333333333</x:v>
      </x:c>
      <x:c r="O19" s="149" t="n">
        <x:f>O8*'Assumptions'!$E$22*'Assumptions'!$E$23</x:f>
        <x:v>96.97333333333333</x:v>
      </x:c>
      <x:c r="P19" s="149" t="n">
        <x:f>P8*'Assumptions'!$E$22*'Assumptions'!$E$23</x:f>
        <x:v>96.97333333333333</x:v>
      </x:c>
      <x:c r="Q19" s="134" t="n">
        <x:f>SUM(E19:P19)</x:f>
        <x:v>1163.68</x:v>
      </x:c>
      <x:c r="R19" s="134" t="n">
        <x:f>R8*'Assumptions'!$E$22*'Assumptions'!$E$23</x:f>
        <x:v>1163.68</x:v>
      </x:c>
    </x:row>
    <x:row r="20" ht="18" customHeight="1">
      <x:c r="A20" s="2"/>
      <x:c r="B20" s="2"/>
      <x:c r="C20" s="25" t="str">
        <x:v>Ageing stock cleared original value</x:v>
      </x:c>
      <x:c r="D20" s="25" t="str">
        <x:v>INR cr</x:v>
      </x:c>
      <x:c r="E20" s="149" t="n">
        <x:f>E19*'Assumptions'!$E$20*E9</x:f>
        <x:v>6.303266666666667</x:v>
      </x:c>
      <x:c r="F20" s="149" t="n">
        <x:f>F19*'Assumptions'!$E$20*F9</x:f>
        <x:v>9.454899999999999</x:v>
      </x:c>
      <x:c r="G20" s="149" t="n">
        <x:f>G19*'Assumptions'!$E$20*G9</x:f>
        <x:v>12.606533333333333</x:v>
      </x:c>
      <x:c r="H20" s="149" t="n">
        <x:f>H19*'Assumptions'!$E$20*H9</x:f>
        <x:v>18.909799999999997</x:v>
      </x:c>
      <x:c r="I20" s="149" t="n">
        <x:f>I19*'Assumptions'!$E$20*I9</x:f>
        <x:v>25.213066666666666</x:v>
      </x:c>
      <x:c r="J20" s="149" t="n">
        <x:f>J19*'Assumptions'!$E$20*J9</x:f>
        <x:v>28.3647</x:v>
      </x:c>
      <x:c r="K20" s="149" t="n">
        <x:f>K19*'Assumptions'!$E$20*K9</x:f>
        <x:v>31.516333333333332</x:v>
      </x:c>
      <x:c r="L20" s="149" t="n">
        <x:f>L19*'Assumptions'!$E$20*L9</x:f>
        <x:v>34.667966666666665</x:v>
      </x:c>
      <x:c r="M20" s="149" t="n">
        <x:f>M19*'Assumptions'!$E$20*M9</x:f>
        <x:v>37.819599999999994</x:v>
      </x:c>
      <x:c r="N20" s="149" t="n">
        <x:f>N19*'Assumptions'!$E$20*N9</x:f>
        <x:v>40.97123333333333</x:v>
      </x:c>
      <x:c r="O20" s="149" t="n">
        <x:f>O19*'Assumptions'!$E$20*O9</x:f>
        <x:v>44.12286666666666</x:v>
      </x:c>
      <x:c r="P20" s="149" t="n">
        <x:f>P19*'Assumptions'!$E$20*P9</x:f>
        <x:v>50.42613333333333</x:v>
      </x:c>
      <x:c r="Q20" s="134" t="n">
        <x:f>SUM(E20:P20)</x:f>
        <x:v>340.37639999999993</x:v>
      </x:c>
      <x:c r="R20" s="134" t="n">
        <x:f>R19*'Assumptions'!$E$20</x:f>
        <x:v>756.392</x:v>
      </x:c>
    </x:row>
    <x:row r="21" ht="18" customHeight="1">
      <x:c r="A21" s="2"/>
      <x:c r="B21" s="2"/>
      <x:c r="C21" s="25" t="str">
        <x:v>Ageing stock winning-bid GMV</x:v>
      </x:c>
      <x:c r="D21" s="25" t="str">
        <x:v>INR cr</x:v>
      </x:c>
      <x:c r="E21" s="149" t="n">
        <x:f>E20*'Assumptions'!$E$21</x:f>
        <x:v>2.2061433333333333</x:v>
      </x:c>
      <x:c r="F21" s="149" t="n">
        <x:f>F20*'Assumptions'!$E$21</x:f>
        <x:v>3.309214999999999</x:v>
      </x:c>
      <x:c r="G21" s="149" t="n">
        <x:f>G20*'Assumptions'!$E$21</x:f>
        <x:v>4.412286666666667</x:v>
      </x:c>
      <x:c r="H21" s="149" t="n">
        <x:f>H20*'Assumptions'!$E$21</x:f>
        <x:v>6.618429999999998</x:v>
      </x:c>
      <x:c r="I21" s="149" t="n">
        <x:f>I20*'Assumptions'!$E$21</x:f>
        <x:v>8.824573333333333</x:v>
      </x:c>
      <x:c r="J21" s="149" t="n">
        <x:f>J20*'Assumptions'!$E$21</x:f>
        <x:v>9.927644999999998</x:v>
      </x:c>
      <x:c r="K21" s="149" t="n">
        <x:f>K20*'Assumptions'!$E$21</x:f>
        <x:v>11.030716666666665</x:v>
      </x:c>
      <x:c r="L21" s="149" t="n">
        <x:f>L20*'Assumptions'!$E$21</x:f>
        <x:v>12.133788333333332</x:v>
      </x:c>
      <x:c r="M21" s="149" t="n">
        <x:f>M20*'Assumptions'!$E$21</x:f>
        <x:v>13.236859999999997</x:v>
      </x:c>
      <x:c r="N21" s="149" t="n">
        <x:f>N20*'Assumptions'!$E$21</x:f>
        <x:v>14.339931666666665</x:v>
      </x:c>
      <x:c r="O21" s="149" t="n">
        <x:f>O20*'Assumptions'!$E$21</x:f>
        <x:v>15.44300333333333</x:v>
      </x:c>
      <x:c r="P21" s="149" t="n">
        <x:f>P20*'Assumptions'!$E$21</x:f>
        <x:v>17.649146666666667</x:v>
      </x:c>
      <x:c r="Q21" s="134" t="n">
        <x:f>SUM(E21:P21)</x:f>
        <x:v>119.13173999999998</x:v>
      </x:c>
      <x:c r="R21" s="134" t="n">
        <x:f>R20*'Assumptions'!$E$21</x:f>
        <x:v>264.73720000000003</x:v>
      </x:c>
    </x:row>
    <x:row r="22" ht="18" customHeight="1">
      <x:c r="A22" s="2"/>
      <x:c r="B22" s="2"/>
      <x:c r="C22" s="25" t="str">
        <x:v>Total recovery cleared GMV</x:v>
      </x:c>
      <x:c r="D22" s="25" t="str">
        <x:v>INR cr</x:v>
      </x:c>
      <x:c r="E22" s="149" t="n">
        <x:f>SUM(E18,E21)</x:f>
        <x:v>3.0098098333333336</x:v>
      </x:c>
      <x:c r="F22" s="149" t="n">
        <x:f>SUM(F18,F21)</x:f>
        <x:v>4.5147147499999996</x:v>
      </x:c>
      <x:c r="G22" s="149" t="n">
        <x:f>SUM(G18,G21)</x:f>
        <x:v>6.019619666666667</x:v>
      </x:c>
      <x:c r="H22" s="149" t="n">
        <x:f>SUM(H18,H21)</x:f>
        <x:v>9.029429499999999</x:v>
      </x:c>
      <x:c r="I22" s="149" t="n">
        <x:f>SUM(I18,I21)</x:f>
        <x:v>12.039239333333335</x:v>
      </x:c>
      <x:c r="J22" s="149" t="n">
        <x:f>SUM(J18,J21)</x:f>
        <x:v>13.54414425</x:v>
      </x:c>
      <x:c r="K22" s="149" t="n">
        <x:f>SUM(K18,K21)</x:f>
        <x:v>15.049049166666666</x:v>
      </x:c>
      <x:c r="L22" s="149" t="n">
        <x:f>SUM(L18,L21)</x:f>
        <x:v>16.553954083333334</x:v>
      </x:c>
      <x:c r="M22" s="149" t="n">
        <x:f>SUM(M18,M21)</x:f>
        <x:v>18.058858999999998</x:v>
      </x:c>
      <x:c r="N22" s="149" t="n">
        <x:f>SUM(N18,N21)</x:f>
        <x:v>19.563763916666666</x:v>
      </x:c>
      <x:c r="O22" s="149" t="n">
        <x:f>SUM(O18,O21)</x:f>
        <x:v>21.068668833333334</x:v>
      </x:c>
      <x:c r="P22" s="149" t="n">
        <x:f>SUM(P18,P21)</x:f>
        <x:v>24.07847866666667</x:v>
      </x:c>
      <x:c r="Q22" s="134" t="n">
        <x:f>SUM(E22:P22)</x:f>
        <x:v>162.52973100000003</x:v>
      </x:c>
      <x:c r="R22" s="134" t="n">
        <x:f>SUM(R18,R21)</x:f>
        <x:v>361.17718</x:v>
      </x:c>
    </x:row>
    <x:row r="23" ht="18" customHeight="1">
      <x:c r="A23" s="2"/>
      <x:c r="B23" s="2"/>
      <x:c r="C23" s="25" t="str">
        <x:v>ReLoop revenue</x:v>
      </x:c>
      <x:c r="D23" s="25" t="str">
        <x:v>INR cr</x:v>
      </x:c>
      <x:c r="E23" s="149" t="n">
        <x:f>E22*'Assumptions'!$E$24</x:f>
        <x:v>0.3762262291666667</x:v>
      </x:c>
      <x:c r="F23" s="149" t="n">
        <x:f>F22*'Assumptions'!$E$24</x:f>
        <x:v>0.5643393437499999</x:v>
      </x:c>
      <x:c r="G23" s="149" t="n">
        <x:f>G22*'Assumptions'!$E$24</x:f>
        <x:v>0.7524524583333334</x:v>
      </x:c>
      <x:c r="H23" s="149" t="n">
        <x:f>H22*'Assumptions'!$E$24</x:f>
        <x:v>1.1286786874999999</x:v>
      </x:c>
      <x:c r="I23" s="149" t="n">
        <x:f>I22*'Assumptions'!$E$24</x:f>
        <x:v>1.5049049166666668</x:v>
      </x:c>
      <x:c r="J23" s="149" t="n">
        <x:f>J22*'Assumptions'!$E$24</x:f>
        <x:v>1.69301803125</x:v>
      </x:c>
      <x:c r="K23" s="149" t="n">
        <x:f>K22*'Assumptions'!$E$24</x:f>
        <x:v>1.8811311458333333</x:v>
      </x:c>
      <x:c r="L23" s="149" t="n">
        <x:f>L22*'Assumptions'!$E$24</x:f>
        <x:v>2.0692442604166668</x:v>
      </x:c>
      <x:c r="M23" s="149" t="n">
        <x:f>M22*'Assumptions'!$E$24</x:f>
        <x:v>2.2573573749999998</x:v>
      </x:c>
      <x:c r="N23" s="149" t="n">
        <x:f>N22*'Assumptions'!$E$24</x:f>
        <x:v>2.4454704895833332</x:v>
      </x:c>
      <x:c r="O23" s="149" t="n">
        <x:f>O22*'Assumptions'!$E$24</x:f>
        <x:v>2.6335836041666667</x:v>
      </x:c>
      <x:c r="P23" s="149" t="n">
        <x:f>P22*'Assumptions'!$E$24</x:f>
        <x:v>3.0098098333333336</x:v>
      </x:c>
      <x:c r="Q23" s="134" t="n">
        <x:f>SUM(E23:P23)</x:f>
        <x:v>20.316216375000003</x:v>
      </x:c>
      <x:c r="R23" s="134" t="n">
        <x:f>R22*'Assumptions'!$E$24</x:f>
        <x:v>45.1471475</x:v>
      </x:c>
    </x:row>
    <x:row r="24" ht="18" customHeight="1">
      <x:c r="A24" s="2"/>
      <x:c r="B24" s="2"/>
      <x:c r="C24" s="25" t="str">
        <x:v>ReLoop direct cost</x:v>
      </x:c>
      <x:c r="D24" s="25" t="str">
        <x:v>INR cr</x:v>
      </x:c>
      <x:c r="E24" s="149" t="n">
        <x:f>E22*'Assumptions'!$E$26</x:f>
        <x:v>0.16553954083333336</x:v>
      </x:c>
      <x:c r="F24" s="149" t="n">
        <x:f>F22*'Assumptions'!$E$26</x:f>
        <x:v>0.24830931124999997</x:v>
      </x:c>
      <x:c r="G24" s="149" t="n">
        <x:f>G22*'Assumptions'!$E$26</x:f>
        <x:v>0.3310790816666667</x:v>
      </x:c>
      <x:c r="H24" s="149" t="n">
        <x:f>H22*'Assumptions'!$E$26</x:f>
        <x:v>0.49661862249999994</x:v>
      </x:c>
      <x:c r="I24" s="149" t="n">
        <x:f>I22*'Assumptions'!$E$26</x:f>
        <x:v>0.6621581633333334</x:v>
      </x:c>
      <x:c r="J24" s="149" t="n">
        <x:f>J22*'Assumptions'!$E$26</x:f>
        <x:v>0.74492793375</x:v>
      </x:c>
      <x:c r="K24" s="149" t="n">
        <x:f>K22*'Assumptions'!$E$26</x:f>
        <x:v>0.8276977041666667</x:v>
      </x:c>
      <x:c r="L24" s="149" t="n">
        <x:f>L22*'Assumptions'!$E$26</x:f>
        <x:v>0.9104674745833333</x:v>
      </x:c>
      <x:c r="M24" s="149" t="n">
        <x:f>M22*'Assumptions'!$E$26</x:f>
        <x:v>0.9932372449999999</x:v>
      </x:c>
      <x:c r="N24" s="149" t="n">
        <x:f>N22*'Assumptions'!$E$26</x:f>
        <x:v>1.0760070154166665</x:v>
      </x:c>
      <x:c r="O24" s="149" t="n">
        <x:f>O22*'Assumptions'!$E$26</x:f>
        <x:v>1.1587767858333333</x:v>
      </x:c>
      <x:c r="P24" s="149" t="n">
        <x:f>P22*'Assumptions'!$E$26</x:f>
        <x:v>1.3243163266666669</x:v>
      </x:c>
      <x:c r="Q24" s="134" t="n">
        <x:f>SUM(E24:P24)</x:f>
        <x:v>8.939135205</x:v>
      </x:c>
      <x:c r="R24" s="134" t="n">
        <x:f>R22*'Assumptions'!$E$26</x:f>
        <x:v>19.8647449</x:v>
      </x:c>
    </x:row>
    <x:row r="25" ht="18" customHeight="1">
      <x:c r="A25" s="2"/>
      <x:c r="B25" s="2"/>
      <x:c r="C25" s="26" t="str">
        <x:v>ReLoop contribution</x:v>
      </x:c>
      <x:c r="D25" s="26" t="str">
        <x:v>INR cr</x:v>
      </x:c>
      <x:c r="E25" s="150" t="n">
        <x:f>E23-E24</x:f>
        <x:v>0.21068668833333334</x:v>
      </x:c>
      <x:c r="F25" s="150" t="n">
        <x:f>F23-F24</x:f>
        <x:v>0.31603003249999995</x:v>
      </x:c>
      <x:c r="G25" s="150" t="n">
        <x:f>G23-G24</x:f>
        <x:v>0.4213733766666667</x:v>
      </x:c>
      <x:c r="H25" s="150" t="n">
        <x:f>H23-H24</x:f>
        <x:v>0.6320600649999999</x:v>
      </x:c>
      <x:c r="I25" s="150" t="n">
        <x:f>I23-I24</x:f>
        <x:v>0.8427467533333334</x:v>
      </x:c>
      <x:c r="J25" s="150" t="n">
        <x:f>J23-J24</x:f>
        <x:v>0.9480900975000001</x:v>
      </x:c>
      <x:c r="K25" s="150" t="n">
        <x:f>K23-K24</x:f>
        <x:v>1.0534334416666666</x:v>
      </x:c>
      <x:c r="L25" s="150" t="n">
        <x:f>L23-L24</x:f>
        <x:v>1.1587767858333335</x:v>
      </x:c>
      <x:c r="M25" s="150" t="n">
        <x:f>M23-M24</x:f>
        <x:v>1.2641201299999998</x:v>
      </x:c>
      <x:c r="N25" s="150" t="n">
        <x:f>N23-N24</x:f>
        <x:v>1.3694634741666667</x:v>
      </x:c>
      <x:c r="O25" s="150" t="n">
        <x:f>O23-O24</x:f>
        <x:v>1.4748068183333334</x:v>
      </x:c>
      <x:c r="P25" s="150" t="n">
        <x:f>P23-P24</x:f>
        <x:v>1.6854935066666668</x:v>
      </x:c>
      <x:c r="Q25" s="135" t="n">
        <x:f>SUM(E25:P25)</x:f>
        <x:v>11.37708117</x:v>
      </x:c>
      <x:c r="R25" s="135" t="n">
        <x:f>R23-R24</x:f>
        <x:v>25.2824026</x:v>
      </x:c>
    </x:row>
    <x:row r="26" ht="18" customHeight="1">
      <x:c r="A26" s="2"/>
      <x:c r="B26" s="2"/>
      <x:c r="C26" s="2"/>
      <x:c r="D26" s="2"/>
      <x:c r="E26" s="151"/>
      <x:c r="F26" s="151"/>
      <x:c r="G26" s="151"/>
      <x:c r="H26" s="151"/>
      <x:c r="I26" s="151"/>
      <x:c r="J26" s="151"/>
      <x:c r="K26" s="151"/>
      <x:c r="L26" s="151"/>
      <x:c r="M26" s="151"/>
      <x:c r="N26" s="151"/>
      <x:c r="O26" s="151"/>
      <x:c r="P26" s="151"/>
      <x:c r="Q26" s="131"/>
      <x:c r="R26" s="131"/>
    </x:row>
    <x:row r="27" ht="18" customHeight="1">
      <x:c r="A27" s="2"/>
      <x:c r="B27" s="2"/>
      <x:c r="C27" s="103" t="str">
        <x:v>PHASE 2: MEESHO SOURCE</x:v>
      </x:c>
      <x:c r="D27" s="104" t="str">
        <x:v>PHASE 2: MEESHO SOURCE</x:v>
      </x:c>
      <x:c r="E27" s="152" t="str">
        <x:v>PHASE 2: MEESHO SOURCE</x:v>
      </x:c>
      <x:c r="F27" s="152" t="str">
        <x:v>PHASE 2: MEESHO SOURCE</x:v>
      </x:c>
      <x:c r="G27" s="152" t="str">
        <x:v>PHASE 2: MEESHO SOURCE</x:v>
      </x:c>
      <x:c r="H27" s="152" t="str">
        <x:v>PHASE 2: MEESHO SOURCE</x:v>
      </x:c>
      <x:c r="I27" s="152" t="str">
        <x:v>PHASE 2: MEESHO SOURCE</x:v>
      </x:c>
      <x:c r="J27" s="152" t="str">
        <x:v>PHASE 2: MEESHO SOURCE</x:v>
      </x:c>
      <x:c r="K27" s="152" t="str">
        <x:v>PHASE 2: MEESHO SOURCE</x:v>
      </x:c>
      <x:c r="L27" s="152" t="str">
        <x:v>PHASE 2: MEESHO SOURCE</x:v>
      </x:c>
      <x:c r="M27" s="152" t="str">
        <x:v>PHASE 2: MEESHO SOURCE</x:v>
      </x:c>
      <x:c r="N27" s="152" t="str">
        <x:v>PHASE 2: MEESHO SOURCE</x:v>
      </x:c>
      <x:c r="O27" s="152" t="str">
        <x:v>PHASE 2: MEESHO SOURCE</x:v>
      </x:c>
      <x:c r="P27" s="152" t="str">
        <x:v>PHASE 2: MEESHO SOURCE</x:v>
      </x:c>
      <x:c r="Q27" s="158" t="str">
        <x:v>PHASE 2: MEESHO SOURCE</x:v>
      </x:c>
      <x:c r="R27" s="159" t="str">
        <x:v>PHASE 2: MEESHO SOURCE</x:v>
      </x:c>
    </x:row>
    <x:row r="28" ht="18" customHeight="1">
      <x:c r="A28" s="2"/>
      <x:c r="B28" s="2"/>
      <x:c r="C28" s="24" t="str">
        <x:v>Seller procurement value</x:v>
      </x:c>
      <x:c r="D28" s="24" t="str">
        <x:v>INR cr</x:v>
      </x:c>
      <x:c r="E28" s="146" t="n">
        <x:f>E8*'Assumptions'!$E$30</x:f>
        <x:v>1904.8333333333335</x:v>
      </x:c>
      <x:c r="F28" s="146" t="n">
        <x:f>F8*'Assumptions'!$E$30</x:f>
        <x:v>1904.8333333333335</x:v>
      </x:c>
      <x:c r="G28" s="146" t="n">
        <x:f>G8*'Assumptions'!$E$30</x:f>
        <x:v>1904.8333333333335</x:v>
      </x:c>
      <x:c r="H28" s="146" t="n">
        <x:f>H8*'Assumptions'!$E$30</x:f>
        <x:v>1904.8333333333335</x:v>
      </x:c>
      <x:c r="I28" s="146" t="n">
        <x:f>I8*'Assumptions'!$E$30</x:f>
        <x:v>1904.8333333333335</x:v>
      </x:c>
      <x:c r="J28" s="146" t="n">
        <x:f>J8*'Assumptions'!$E$30</x:f>
        <x:v>1904.8333333333335</x:v>
      </x:c>
      <x:c r="K28" s="146" t="n">
        <x:f>K8*'Assumptions'!$E$30</x:f>
        <x:v>1904.8333333333335</x:v>
      </x:c>
      <x:c r="L28" s="146" t="n">
        <x:f>L8*'Assumptions'!$E$30</x:f>
        <x:v>1904.8333333333335</x:v>
      </x:c>
      <x:c r="M28" s="146" t="n">
        <x:f>M8*'Assumptions'!$E$30</x:f>
        <x:v>1904.8333333333335</x:v>
      </x:c>
      <x:c r="N28" s="146" t="n">
        <x:f>N8*'Assumptions'!$E$30</x:f>
        <x:v>1904.8333333333335</x:v>
      </x:c>
      <x:c r="O28" s="146" t="n">
        <x:f>O8*'Assumptions'!$E$30</x:f>
        <x:v>1904.8333333333335</x:v>
      </x:c>
      <x:c r="P28" s="146" t="n">
        <x:f>P8*'Assumptions'!$E$30</x:f>
        <x:v>1904.8333333333335</x:v>
      </x:c>
      <x:c r="Q28" s="128" t="n">
        <x:f>SUM(E28:P28)</x:f>
        <x:v>22858</x:v>
      </x:c>
      <x:c r="R28" s="128" t="n">
        <x:f>R8*'Assumptions'!$E$30</x:f>
        <x:v>22858.000000000004</x:v>
      </x:c>
    </x:row>
    <x:row r="29" ht="18" customHeight="1">
      <x:c r="A29" s="2"/>
      <x:c r="B29" s="2"/>
      <x:c r="C29" s="25" t="str">
        <x:v>Procurement routed through Source</x:v>
      </x:c>
      <x:c r="D29" s="25" t="str">
        <x:v>INR cr</x:v>
      </x:c>
      <x:c r="E29" s="149" t="n">
        <x:f>E28*'Assumptions'!$E$31*E10</x:f>
        <x:v>0</x:v>
      </x:c>
      <x:c r="F29" s="149" t="n">
        <x:f>F28*'Assumptions'!$E$31*F10</x:f>
        <x:v>0</x:v>
      </x:c>
      <x:c r="G29" s="149" t="n">
        <x:f>G28*'Assumptions'!$E$31*G10</x:f>
        <x:v>0</x:v>
      </x:c>
      <x:c r="H29" s="149" t="n">
        <x:f>H28*'Assumptions'!$E$31*H10</x:f>
        <x:v>0</x:v>
      </x:c>
      <x:c r="I29" s="149" t="n">
        <x:f>I28*'Assumptions'!$E$31*I10</x:f>
        <x:v>0</x:v>
      </x:c>
      <x:c r="J29" s="149" t="n">
        <x:f>J28*'Assumptions'!$E$31*J10</x:f>
        <x:v>0</x:v>
      </x:c>
      <x:c r="K29" s="149" t="n">
        <x:f>K28*'Assumptions'!$E$31*K10</x:f>
        <x:v>66.66916666666667</x:v>
      </x:c>
      <x:c r="L29" s="149" t="n">
        <x:f>L28*'Assumptions'!$E$31*L10</x:f>
        <x:v>133.33833333333334</x:v>
      </x:c>
      <x:c r="M29" s="149" t="n">
        <x:f>M28*'Assumptions'!$E$31*M10</x:f>
        <x:v>200.00750000000002</x:v>
      </x:c>
      <x:c r="N29" s="149" t="n">
        <x:f>N28*'Assumptions'!$E$31*N10</x:f>
        <x:v>266.6766666666667</x:v>
      </x:c>
      <x:c r="O29" s="149" t="n">
        <x:f>O28*'Assumptions'!$E$31*O10</x:f>
        <x:v>400.01500000000004</x:v>
      </x:c>
      <x:c r="P29" s="149" t="n">
        <x:f>P28*'Assumptions'!$E$31*P10</x:f>
        <x:v>533.3533333333334</x:v>
      </x:c>
      <x:c r="Q29" s="134" t="n">
        <x:f>SUM(E29:P29)</x:f>
        <x:v>1600.06</x:v>
      </x:c>
      <x:c r="R29" s="134" t="n">
        <x:f>R28*'Assumptions'!$E$31</x:f>
        <x:v>8000.300000000001</x:v>
      </x:c>
    </x:row>
    <x:row r="30" ht="18" customHeight="1">
      <x:c r="A30" s="2"/>
      <x:c r="B30" s="2"/>
      <x:c r="C30" s="25" t="str">
        <x:v>Source revenue</x:v>
      </x:c>
      <x:c r="D30" s="25" t="str">
        <x:v>INR cr</x:v>
      </x:c>
      <x:c r="E30" s="149" t="n">
        <x:f>E29*'Assumptions'!$E$32</x:f>
        <x:v>0</x:v>
      </x:c>
      <x:c r="F30" s="149" t="n">
        <x:f>F29*'Assumptions'!$E$32</x:f>
        <x:v>0</x:v>
      </x:c>
      <x:c r="G30" s="149" t="n">
        <x:f>G29*'Assumptions'!$E$32</x:f>
        <x:v>0</x:v>
      </x:c>
      <x:c r="H30" s="149" t="n">
        <x:f>H29*'Assumptions'!$E$32</x:f>
        <x:v>0</x:v>
      </x:c>
      <x:c r="I30" s="149" t="n">
        <x:f>I29*'Assumptions'!$E$32</x:f>
        <x:v>0</x:v>
      </x:c>
      <x:c r="J30" s="149" t="n">
        <x:f>J29*'Assumptions'!$E$32</x:f>
        <x:v>0</x:v>
      </x:c>
      <x:c r="K30" s="149" t="n">
        <x:f>K29*'Assumptions'!$E$32</x:f>
        <x:v>3.0001125</x:v>
      </x:c>
      <x:c r="L30" s="149" t="n">
        <x:f>L29*'Assumptions'!$E$32</x:f>
        <x:v>6.000225</x:v>
      </x:c>
      <x:c r="M30" s="149" t="n">
        <x:f>M29*'Assumptions'!$E$32</x:f>
        <x:v>9.0003375</x:v>
      </x:c>
      <x:c r="N30" s="149" t="n">
        <x:f>N29*'Assumptions'!$E$32</x:f>
        <x:v>12.00045</x:v>
      </x:c>
      <x:c r="O30" s="149" t="n">
        <x:f>O29*'Assumptions'!$E$32</x:f>
        <x:v>18.000675</x:v>
      </x:c>
      <x:c r="P30" s="149" t="n">
        <x:f>P29*'Assumptions'!$E$32</x:f>
        <x:v>24.0009</x:v>
      </x:c>
      <x:c r="Q30" s="134" t="n">
        <x:f>SUM(E30:P30)</x:f>
        <x:v>72.0027</x:v>
      </x:c>
      <x:c r="R30" s="134" t="n">
        <x:f>R29*'Assumptions'!$E$32</x:f>
        <x:v>360.0135</x:v>
      </x:c>
    </x:row>
    <x:row r="31" ht="18" customHeight="1">
      <x:c r="A31" s="2"/>
      <x:c r="B31" s="2"/>
      <x:c r="C31" s="25" t="str">
        <x:v>Source direct cost</x:v>
      </x:c>
      <x:c r="D31" s="25" t="str">
        <x:v>INR cr</x:v>
      </x:c>
      <x:c r="E31" s="149" t="n">
        <x:f>E29*'Assumptions'!$E$34</x:f>
        <x:v>0</x:v>
      </x:c>
      <x:c r="F31" s="149" t="n">
        <x:f>F29*'Assumptions'!$E$34</x:f>
        <x:v>0</x:v>
      </x:c>
      <x:c r="G31" s="149" t="n">
        <x:f>G29*'Assumptions'!$E$34</x:f>
        <x:v>0</x:v>
      </x:c>
      <x:c r="H31" s="149" t="n">
        <x:f>H29*'Assumptions'!$E$34</x:f>
        <x:v>0</x:v>
      </x:c>
      <x:c r="I31" s="149" t="n">
        <x:f>I29*'Assumptions'!$E$34</x:f>
        <x:v>0</x:v>
      </x:c>
      <x:c r="J31" s="149" t="n">
        <x:f>J29*'Assumptions'!$E$34</x:f>
        <x:v>0</x:v>
      </x:c>
      <x:c r="K31" s="149" t="n">
        <x:f>K29*'Assumptions'!$E$34</x:f>
        <x:v>1.3333833333333334</x:v>
      </x:c>
      <x:c r="L31" s="149" t="n">
        <x:f>L29*'Assumptions'!$E$34</x:f>
        <x:v>2.6667666666666667</x:v>
      </x:c>
      <x:c r="M31" s="149" t="n">
        <x:f>M29*'Assumptions'!$E$34</x:f>
        <x:v>4.0001500000000005</x:v>
      </x:c>
      <x:c r="N31" s="149" t="n">
        <x:f>N29*'Assumptions'!$E$34</x:f>
        <x:v>5.3335333333333335</x:v>
      </x:c>
      <x:c r="O31" s="149" t="n">
        <x:f>O29*'Assumptions'!$E$34</x:f>
        <x:v>8.000300000000001</x:v>
      </x:c>
      <x:c r="P31" s="149" t="n">
        <x:f>P29*'Assumptions'!$E$34</x:f>
        <x:v>10.667066666666667</x:v>
      </x:c>
      <x:c r="Q31" s="134" t="n">
        <x:f>SUM(E31:P31)</x:f>
        <x:v>32.0012</x:v>
      </x:c>
      <x:c r="R31" s="134" t="n">
        <x:f>R29*'Assumptions'!$E$34</x:f>
        <x:v>160.00600000000003</x:v>
      </x:c>
    </x:row>
    <x:row r="32" ht="18" customHeight="1">
      <x:c r="A32" s="2"/>
      <x:c r="B32" s="2"/>
      <x:c r="C32" s="26" t="str">
        <x:v>Source contribution</x:v>
      </x:c>
      <x:c r="D32" s="26" t="str">
        <x:v>INR cr</x:v>
      </x:c>
      <x:c r="E32" s="150" t="n">
        <x:f>E30-E31</x:f>
        <x:v>0</x:v>
      </x:c>
      <x:c r="F32" s="150" t="n">
        <x:f>F30-F31</x:f>
        <x:v>0</x:v>
      </x:c>
      <x:c r="G32" s="150" t="n">
        <x:f>G30-G31</x:f>
        <x:v>0</x:v>
      </x:c>
      <x:c r="H32" s="150" t="n">
        <x:f>H30-H31</x:f>
        <x:v>0</x:v>
      </x:c>
      <x:c r="I32" s="150" t="n">
        <x:f>I30-I31</x:f>
        <x:v>0</x:v>
      </x:c>
      <x:c r="J32" s="150" t="n">
        <x:f>J30-J31</x:f>
        <x:v>0</x:v>
      </x:c>
      <x:c r="K32" s="150" t="n">
        <x:f>K30-K31</x:f>
        <x:v>1.6667291666666668</x:v>
      </x:c>
      <x:c r="L32" s="150" t="n">
        <x:f>L30-L31</x:f>
        <x:v>3.3334583333333336</x:v>
      </x:c>
      <x:c r="M32" s="150" t="n">
        <x:f>M30-M31</x:f>
        <x:v>5.0001875</x:v>
      </x:c>
      <x:c r="N32" s="150" t="n">
        <x:f>N30-N31</x:f>
        <x:v>6.666916666666667</x:v>
      </x:c>
      <x:c r="O32" s="150" t="n">
        <x:f>O30-O31</x:f>
        <x:v>10.000375</x:v>
      </x:c>
      <x:c r="P32" s="150" t="n">
        <x:f>P30-P31</x:f>
        <x:v>13.333833333333335</x:v>
      </x:c>
      <x:c r="Q32" s="135" t="n">
        <x:f>SUM(E32:P32)</x:f>
        <x:v>40.00150000000001</x:v>
      </x:c>
      <x:c r="R32" s="135" t="n">
        <x:f>R30-R31</x:f>
        <x:v>200.0075</x:v>
      </x:c>
    </x:row>
    <x:row r="33" ht="18" customHeight="1">
      <x:c r="A33" s="2"/>
      <x:c r="B33" s="2"/>
      <x:c r="C33" s="2"/>
      <x:c r="D33" s="2"/>
      <x:c r="E33" s="151"/>
      <x:c r="F33" s="151"/>
      <x:c r="G33" s="151"/>
      <x:c r="H33" s="151"/>
      <x:c r="I33" s="151"/>
      <x:c r="J33" s="151"/>
      <x:c r="K33" s="151"/>
      <x:c r="L33" s="151"/>
      <x:c r="M33" s="151"/>
      <x:c r="N33" s="151"/>
      <x:c r="O33" s="151"/>
      <x:c r="P33" s="151"/>
      <x:c r="Q33" s="131"/>
      <x:c r="R33" s="131"/>
    </x:row>
    <x:row r="34" ht="18" customHeight="1">
      <x:c r="A34" s="2"/>
      <x:c r="B34" s="2"/>
      <x:c r="C34" s="111" t="str">
        <x:v>COMBINED ECONOMICS</x:v>
      </x:c>
      <x:c r="D34" s="112" t="str">
        <x:v>COMBINED ECONOMICS</x:v>
      </x:c>
      <x:c r="E34" s="153" t="str">
        <x:v>COMBINED ECONOMICS</x:v>
      </x:c>
      <x:c r="F34" s="153" t="str">
        <x:v>COMBINED ECONOMICS</x:v>
      </x:c>
      <x:c r="G34" s="153" t="str">
        <x:v>COMBINED ECONOMICS</x:v>
      </x:c>
      <x:c r="H34" s="153" t="str">
        <x:v>COMBINED ECONOMICS</x:v>
      </x:c>
      <x:c r="I34" s="153" t="str">
        <x:v>COMBINED ECONOMICS</x:v>
      </x:c>
      <x:c r="J34" s="153" t="str">
        <x:v>COMBINED ECONOMICS</x:v>
      </x:c>
      <x:c r="K34" s="153" t="str">
        <x:v>COMBINED ECONOMICS</x:v>
      </x:c>
      <x:c r="L34" s="153" t="str">
        <x:v>COMBINED ECONOMICS</x:v>
      </x:c>
      <x:c r="M34" s="153" t="str">
        <x:v>COMBINED ECONOMICS</x:v>
      </x:c>
      <x:c r="N34" s="153" t="str">
        <x:v>COMBINED ECONOMICS</x:v>
      </x:c>
      <x:c r="O34" s="153" t="str">
        <x:v>COMBINED ECONOMICS</x:v>
      </x:c>
      <x:c r="P34" s="153" t="str">
        <x:v>COMBINED ECONOMICS</x:v>
      </x:c>
      <x:c r="Q34" s="160" t="str">
        <x:v>COMBINED ECONOMICS</x:v>
      </x:c>
      <x:c r="R34" s="161" t="str">
        <x:v>COMBINED ECONOMICS</x:v>
      </x:c>
    </x:row>
    <x:row r="35" ht="18" customHeight="1">
      <x:c r="A35" s="2"/>
      <x:c r="B35" s="2"/>
      <x:c r="C35" s="166" t="str">
        <x:v>Total new revenue</x:v>
      </x:c>
      <x:c r="D35" s="166" t="str">
        <x:v>INR cr</x:v>
      </x:c>
      <x:c r="E35" s="167" t="n">
        <x:f>SUM(E23,E30)</x:f>
        <x:v>0.3762262291666667</x:v>
      </x:c>
      <x:c r="F35" s="167" t="n">
        <x:f>SUM(F23,F30)</x:f>
        <x:v>0.5643393437499999</x:v>
      </x:c>
      <x:c r="G35" s="167" t="n">
        <x:f>SUM(G23,G30)</x:f>
        <x:v>0.7524524583333334</x:v>
      </x:c>
      <x:c r="H35" s="167" t="n">
        <x:f>SUM(H23,H30)</x:f>
        <x:v>1.1286786874999999</x:v>
      </x:c>
      <x:c r="I35" s="167" t="n">
        <x:f>SUM(I23,I30)</x:f>
        <x:v>1.5049049166666668</x:v>
      </x:c>
      <x:c r="J35" s="167" t="n">
        <x:f>SUM(J23,J30)</x:f>
        <x:v>1.69301803125</x:v>
      </x:c>
      <x:c r="K35" s="167" t="n">
        <x:f>SUM(K23,K30)</x:f>
        <x:v>4.881243645833333</x:v>
      </x:c>
      <x:c r="L35" s="167" t="n">
        <x:f>SUM(L23,L30)</x:f>
        <x:v>8.069469260416668</x:v>
      </x:c>
      <x:c r="M35" s="167" t="n">
        <x:f>SUM(M23,M30)</x:f>
        <x:v>11.257694875</x:v>
      </x:c>
      <x:c r="N35" s="167" t="n">
        <x:f>SUM(N23,N30)</x:f>
        <x:v>14.445920489583333</x:v>
      </x:c>
      <x:c r="O35" s="167" t="n">
        <x:f>SUM(O23,O30)</x:f>
        <x:v>20.634258604166668</x:v>
      </x:c>
      <x:c r="P35" s="167" t="n">
        <x:f>SUM(P23,P30)</x:f>
        <x:v>27.010709833333337</x:v>
      </x:c>
      <x:c r="Q35" s="168" t="n">
        <x:f>SUM(E35:P35)</x:f>
        <x:v>92.318916375</x:v>
      </x:c>
      <x:c r="R35" s="168" t="n">
        <x:f>SUM(R23,R30)</x:f>
        <x:v>405.16064750000004</x:v>
      </x:c>
    </x:row>
    <x:row r="36" ht="18" customHeight="1">
      <x:c r="A36" s="2"/>
      <x:c r="B36" s="2"/>
      <x:c r="C36" s="25" t="str">
        <x:v>New revenue / NMV</x:v>
      </x:c>
      <x:c r="D36" s="25" t="str">
        <x:v>% NMV</x:v>
      </x:c>
      <x:c r="E36" s="154" t="n">
        <x:f>E35/E8</x:f>
        <x:v>0.00010863125</x:v>
      </x:c>
      <x:c r="F36" s="154" t="n">
        <x:f>F35/F8</x:f>
        <x:v>0.00016294687499999997</x:v>
      </x:c>
      <x:c r="G36" s="154" t="n">
        <x:f>G35/G8</x:f>
        <x:v>0.0002172625</x:v>
      </x:c>
      <x:c r="H36" s="154" t="n">
        <x:f>H35/H8</x:f>
        <x:v>0.00032589374999999994</x:v>
      </x:c>
      <x:c r="I36" s="154" t="n">
        <x:f>I35/I8</x:f>
        <x:v>0.000434525</x:v>
      </x:c>
      <x:c r="J36" s="154" t="n">
        <x:f>J35/J8</x:f>
        <x:v>0.000488840625</x:v>
      </x:c>
      <x:c r="K36" s="154" t="n">
        <x:f>K35/K8</x:f>
        <x:v>0.0014094062499999999</x:v>
      </x:c>
      <x:c r="L36" s="154" t="n">
        <x:f>L35/L8</x:f>
        <x:v>0.002329971875</x:v>
      </x:c>
      <x:c r="M36" s="154" t="n">
        <x:f>M35/M8</x:f>
        <x:v>0.0032505375</x:v>
      </x:c>
      <x:c r="N36" s="154" t="n">
        <x:f>N35/N8</x:f>
        <x:v>0.004171103125</x:v>
      </x:c>
      <x:c r="O36" s="154" t="n">
        <x:f>O35/O8</x:f>
        <x:v>0.00595791875</x:v>
      </x:c>
      <x:c r="P36" s="154" t="n">
        <x:f>P35/P8</x:f>
        <x:v>0.007799050000000001</x:v>
      </x:c>
      <x:c r="Q36" s="143" t="n">
        <x:f>Q35/Q8</x:f>
        <x:v>0.002221340625</x:v>
      </x:c>
      <x:c r="R36" s="143" t="n">
        <x:f>R35/R8</x:f>
        <x:v>0.0097488125</x:v>
      </x:c>
    </x:row>
    <x:row r="37" ht="18" customHeight="1">
      <x:c r="A37" s="2"/>
      <x:c r="B37" s="2"/>
      <x:c r="C37" s="25" t="str">
        <x:v>Contribution before fixed costs</x:v>
      </x:c>
      <x:c r="D37" s="25" t="str">
        <x:v>INR cr</x:v>
      </x:c>
      <x:c r="E37" s="149" t="n">
        <x:f>SUM(E25,E32)</x:f>
        <x:v>0.21068668833333334</x:v>
      </x:c>
      <x:c r="F37" s="149" t="n">
        <x:f>SUM(F25,F32)</x:f>
        <x:v>0.31603003249999995</x:v>
      </x:c>
      <x:c r="G37" s="149" t="n">
        <x:f>SUM(G25,G32)</x:f>
        <x:v>0.4213733766666667</x:v>
      </x:c>
      <x:c r="H37" s="149" t="n">
        <x:f>SUM(H25,H32)</x:f>
        <x:v>0.6320600649999999</x:v>
      </x:c>
      <x:c r="I37" s="149" t="n">
        <x:f>SUM(I25,I32)</x:f>
        <x:v>0.8427467533333334</x:v>
      </x:c>
      <x:c r="J37" s="149" t="n">
        <x:f>SUM(J25,J32)</x:f>
        <x:v>0.9480900975000001</x:v>
      </x:c>
      <x:c r="K37" s="149" t="n">
        <x:f>SUM(K25,K32)</x:f>
        <x:v>2.7201626083333332</x:v>
      </x:c>
      <x:c r="L37" s="149" t="n">
        <x:f>SUM(L25,L32)</x:f>
        <x:v>4.492235119166667</x:v>
      </x:c>
      <x:c r="M37" s="149" t="n">
        <x:f>SUM(M25,M32)</x:f>
        <x:v>6.264307629999999</x:v>
      </x:c>
      <x:c r="N37" s="149" t="n">
        <x:f>SUM(N25,N32)</x:f>
        <x:v>8.036380140833334</x:v>
      </x:c>
      <x:c r="O37" s="149" t="n">
        <x:f>SUM(O25,O32)</x:f>
        <x:v>11.475181818333333</x:v>
      </x:c>
      <x:c r="P37" s="149" t="n">
        <x:f>SUM(P25,P32)</x:f>
        <x:v>15.019326840000002</x:v>
      </x:c>
      <x:c r="Q37" s="144" t="n">
        <x:f>SUM(E37:P37)</x:f>
        <x:v>51.378581170000004</x:v>
      </x:c>
      <x:c r="R37" s="144" t="n">
        <x:f>SUM(R25,R32)</x:f>
        <x:v>225.2899026</x:v>
      </x:c>
    </x:row>
    <x:row r="38" ht="18" customHeight="1">
      <x:c r="A38" s="2"/>
      <x:c r="B38" s="2"/>
      <x:c r="C38" s="25" t="str">
        <x:v>Fixed launch cost</x:v>
      </x:c>
      <x:c r="D38" s="25" t="str">
        <x:v>INR cr</x:v>
      </x:c>
      <x:c r="E38" s="149" t="n">
        <x:f>'Assumptions'!$E$35/12</x:f>
        <x:v>3.75</x:v>
      </x:c>
      <x:c r="F38" s="149" t="n">
        <x:f>'Assumptions'!$E$35/12</x:f>
        <x:v>3.75</x:v>
      </x:c>
      <x:c r="G38" s="149" t="n">
        <x:f>'Assumptions'!$E$35/12</x:f>
        <x:v>3.75</x:v>
      </x:c>
      <x:c r="H38" s="149" t="n">
        <x:f>'Assumptions'!$E$35/12</x:f>
        <x:v>3.75</x:v>
      </x:c>
      <x:c r="I38" s="149" t="n">
        <x:f>'Assumptions'!$E$35/12</x:f>
        <x:v>3.75</x:v>
      </x:c>
      <x:c r="J38" s="149" t="n">
        <x:f>'Assumptions'!$E$35/12</x:f>
        <x:v>3.75</x:v>
      </x:c>
      <x:c r="K38" s="149" t="n">
        <x:f>'Assumptions'!$E$35/12</x:f>
        <x:v>3.75</x:v>
      </x:c>
      <x:c r="L38" s="149" t="n">
        <x:f>'Assumptions'!$E$35/12</x:f>
        <x:v>3.75</x:v>
      </x:c>
      <x:c r="M38" s="149" t="n">
        <x:f>'Assumptions'!$E$35/12</x:f>
        <x:v>3.75</x:v>
      </x:c>
      <x:c r="N38" s="149" t="n">
        <x:f>'Assumptions'!$E$35/12</x:f>
        <x:v>3.75</x:v>
      </x:c>
      <x:c r="O38" s="149" t="n">
        <x:f>'Assumptions'!$E$35/12</x:f>
        <x:v>3.75</x:v>
      </x:c>
      <x:c r="P38" s="149" t="n">
        <x:f>'Assumptions'!$E$35/12</x:f>
        <x:v>3.75</x:v>
      </x:c>
      <x:c r="Q38" s="144" t="n">
        <x:f>SUM(E38:P38)</x:f>
        <x:v>45</x:v>
      </x:c>
      <x:c r="R38" s="144" t="n">
        <x:f>'Assumptions'!$E$35</x:f>
        <x:v>45</x:v>
      </x:c>
    </x:row>
    <x:row r="39" ht="18" customHeight="1">
      <x:c r="A39" s="2"/>
      <x:c r="B39" s="2"/>
      <x:c r="C39" s="169" t="str">
        <x:v>Operating contribution after fixed cost</x:v>
      </x:c>
      <x:c r="D39" s="169" t="str">
        <x:v>INR cr</x:v>
      </x:c>
      <x:c r="E39" s="170" t="n">
        <x:f>E37-E38</x:f>
        <x:v>-3.5393133116666666</x:v>
      </x:c>
      <x:c r="F39" s="170" t="n">
        <x:f>F37-F38</x:f>
        <x:v>-3.4339699675</x:v>
      </x:c>
      <x:c r="G39" s="170" t="n">
        <x:f>G37-G38</x:f>
        <x:v>-3.3286266233333333</x:v>
      </x:c>
      <x:c r="H39" s="170" t="n">
        <x:f>H37-H38</x:f>
        <x:v>-3.117939935</x:v>
      </x:c>
      <x:c r="I39" s="170" t="n">
        <x:f>I37-I38</x:f>
        <x:v>-2.9072532466666665</x:v>
      </x:c>
      <x:c r="J39" s="170" t="n">
        <x:f>J37-J38</x:f>
        <x:v>-2.8019099025</x:v>
      </x:c>
      <x:c r="K39" s="170" t="n">
        <x:f>K37-K38</x:f>
        <x:v>-1.0298373916666668</x:v>
      </x:c>
      <x:c r="L39" s="170" t="n">
        <x:f>L37-L38</x:f>
        <x:v>0.7422351191666667</x:v>
      </x:c>
      <x:c r="M39" s="170" t="n">
        <x:f>M37-M38</x:f>
        <x:v>2.5143076299999993</x:v>
      </x:c>
      <x:c r="N39" s="170" t="n">
        <x:f>N37-N38</x:f>
        <x:v>4.286380140833334</x:v>
      </x:c>
      <x:c r="O39" s="170" t="n">
        <x:f>O37-O38</x:f>
        <x:v>7.725181818333333</x:v>
      </x:c>
      <x:c r="P39" s="170" t="n">
        <x:f>P37-P38</x:f>
        <x:v>11.269326840000002</x:v>
      </x:c>
      <x:c r="Q39" s="171" t="n">
        <x:f>SUM(E39:P39)</x:f>
        <x:v>6.378581169999997</x:v>
      </x:c>
      <x:c r="R39" s="171" t="n">
        <x:f>R37-R38</x:f>
        <x:v>180.2899026</x:v>
      </x:c>
    </x:row>
    <x:row r="40" ht="18" customHeight="1">
      <x:c r="A40" s="2"/>
      <x:c r="B40" s="2"/>
      <x:c r="C40" s="26" t="str">
        <x:v>Operating margin</x:v>
      </x:c>
      <x:c r="D40" s="26" t="str">
        <x:v>% revenue</x:v>
      </x:c>
      <x:c r="E40" s="155" t="n">
        <x:f>IF(E35=0,"n.a.",E39/E35)</x:f>
        <x:v>-9.40740713242182</x:v>
      </x:c>
      <x:c r="F40" s="155" t="n">
        <x:f>IF(F35=0,"n.a.",F39/F35)</x:f>
        <x:v>-6.0849380882812145</x:v>
      </x:c>
      <x:c r="G40" s="155" t="n">
        <x:f>IF(G35=0,"n.a.",G39/G35)</x:f>
        <x:v>-4.42370356621091</x:v>
      </x:c>
      <x:c r="H40" s="155" t="n">
        <x:f>IF(H35=0,"n.a.",H39/H35)</x:f>
        <x:v>-2.7624690441406075</x:v>
      </x:c>
      <x:c r="I40" s="155" t="n">
        <x:f>IF(I35=0,"n.a.",I39/I35)</x:f>
        <x:v>-1.9318517831054551</x:v>
      </x:c>
      <x:c r="J40" s="155" t="n">
        <x:f>IF(J35=0,"n.a.",J39/J35)</x:f>
        <x:v>-1.6549793627604046</x:v>
      </x:c>
      <x:c r="K40" s="155" t="n">
        <x:f>IF(K35=0,"n.a.",K39/K35)</x:f>
        <x:v>-0.2109784854820234</x:v>
      </x:c>
      <x:c r="L40" s="155" t="n">
        <x:f>IF(L35=0,"n.a.",L39/L35)</x:f>
        <x:v>0.09198066133141715</x:v>
      </x:c>
      <x:c r="M40" s="155" t="n">
        <x:f>IF(M35=0,"n.a.",M39/M35)</x:f>
        <x:v>0.22334124862306673</x:v>
      </x:c>
      <x:c r="N40" s="155" t="n">
        <x:f>IF(N35=0,"n.a.",N39/N35)</x:f>
        <x:v>0.2967190733137537</x:v>
      </x:c>
      <x:c r="O40" s="155" t="n">
        <x:f>IF(O35=0,"n.a.",O39/O35)</x:f>
        <x:v>0.37438620725502536</x:v>
      </x:c>
      <x:c r="P40" s="155" t="n">
        <x:f>IF(P35=0,"n.a.",P39/P35)</x:f>
        <x:v>0.417216982061418</x:v>
      </x:c>
      <x:c r="Q40" s="145" t="n">
        <x:f>IF(Q35=0,"n.a.",Q39/Q35)</x:f>
        <x:v>0.0690928947225741</x:v>
      </x:c>
      <x:c r="R40" s="145" t="n">
        <x:f>IF(R35=0,"n.a.",R39/R35)</x:f>
        <x:v>0.444983745860955</x:v>
      </x:c>
    </x:row>
    <x:row r="41">
      <x:c r="A41" s="2"/>
      <x:c r="B41" s="2"/>
      <x:c r="C41" s="2"/>
      <x:c r="D41" s="2"/>
      <x:c r="E41" s="2"/>
      <x:c r="F41" s="2"/>
      <x:c r="G41" s="2"/>
      <x:c r="H41" s="2"/>
      <x:c r="I41" s="2"/>
      <x:c r="J41" s="2"/>
      <x:c r="K41" s="2"/>
      <x:c r="L41" s="2"/>
      <x:c r="M41" s="2"/>
      <x:c r="N41" s="2"/>
      <x:c r="O41" s="2"/>
      <x:c r="P41" s="2"/>
      <x:c r="Q41" s="2"/>
      <x:c r="R41" s="2"/>
    </x:row>
    <x:row r="42">
      <x:c r="A42" s="2"/>
      <x:c r="B42" s="2"/>
      <x:c r="C42" s="2"/>
      <x:c r="D42" s="2"/>
      <x:c r="E42" s="2"/>
      <x:c r="F42" s="2"/>
      <x:c r="G42" s="2"/>
      <x:c r="H42" s="2"/>
      <x:c r="I42" s="2"/>
      <x:c r="J42" s="2"/>
      <x:c r="K42" s="2"/>
      <x:c r="L42" s="2"/>
      <x:c r="M42" s="2"/>
      <x:c r="N42" s="2"/>
      <x:c r="O42" s="2"/>
      <x:c r="P42" s="2"/>
      <x:c r="Q42" s="2"/>
      <x:c r="R42" s="2"/>
    </x:row>
    <x:row r="43">
      <x:c r="A43" s="2"/>
      <x:c r="B43" s="2"/>
      <x:c r="C43" s="2"/>
      <x:c r="D43" s="2"/>
      <x:c r="E43" s="2"/>
      <x:c r="F43" s="2"/>
      <x:c r="G43" s="2"/>
      <x:c r="H43" s="2"/>
      <x:c r="I43" s="2"/>
      <x:c r="J43" s="2"/>
      <x:c r="K43" s="2"/>
      <x:c r="L43" s="2"/>
      <x:c r="M43" s="2"/>
      <x:c r="N43" s="2"/>
      <x:c r="O43" s="2"/>
      <x:c r="P43" s="2"/>
      <x:c r="Q43" s="2"/>
      <x:c r="R43" s="2"/>
    </x:row>
    <x:row r="44">
      <x:c r="A44" s="2"/>
      <x:c r="B44" s="2"/>
      <x:c r="C44" s="2"/>
      <x:c r="D44" s="2"/>
      <x:c r="E44" s="2"/>
      <x:c r="F44" s="2"/>
      <x:c r="G44" s="2"/>
      <x:c r="H44" s="2"/>
      <x:c r="I44" s="2"/>
      <x:c r="J44" s="2"/>
      <x:c r="K44" s="2"/>
      <x:c r="L44" s="2"/>
      <x:c r="M44" s="2"/>
      <x:c r="N44" s="2"/>
      <x:c r="O44" s="2"/>
      <x:c r="P44" s="2"/>
      <x:c r="Q44" s="2"/>
      <x:c r="R44" s="2"/>
    </x:row>
    <x:row r="45">
      <x:c r="A45" s="2"/>
      <x:c r="B45" s="2"/>
      <x:c r="C45" s="2"/>
      <x:c r="D45" s="2"/>
      <x:c r="E45" s="2"/>
      <x:c r="F45" s="2"/>
      <x:c r="G45" s="2"/>
      <x:c r="H45" s="2"/>
      <x:c r="I45" s="2"/>
      <x:c r="J45" s="2"/>
      <x:c r="K45" s="2"/>
      <x:c r="L45" s="2"/>
      <x:c r="M45" s="2"/>
      <x:c r="N45" s="2"/>
      <x:c r="O45" s="2"/>
      <x:c r="P45" s="2"/>
      <x:c r="Q45" s="2"/>
      <x:c r="R45" s="2"/>
    </x:row>
  </x:sheetData>
  <x:mergeCells>
    <x:mergeCell ref="C2:R2"/>
    <x:mergeCell ref="E4:R4"/>
    <x:mergeCell ref="C12:R12"/>
    <x:mergeCell ref="C27:R27"/>
    <x:mergeCell ref="C34:R34"/>
  </x:mergeCells>
  <x:pageMargins left="0.7" right="0.7" top="0.75" bottom="0.75" header="0.3" footer="0.3"/>
</x:worksheet>
</file>

<file path=xl/worksheets/sheet4.xml><?xml version="1.0" encoding="utf-8"?>
<x:worksheet xmlns:x="http://schemas.openxmlformats.org/spreadsheetml/2006/main">
  <x:sheetPr>
    <x:tabColor rgb="FF64165B"/>
  </x:sheetPr>
  <x:sheetViews>
    <x:sheetView showGridLines="0" workbookViewId="0"/>
  </x:sheetViews>
  <x:sheetFormatPr defaultRowHeight="15"/>
  <x:cols>
    <x:col min="1" max="1" width="3" hidden="0" customWidth="1"/>
    <x:col min="2" max="2" width="3" hidden="0" customWidth="1"/>
    <x:col min="3" max="3" width="36" hidden="0" customWidth="1"/>
    <x:col min="4" max="4" width="22" hidden="0" customWidth="1"/>
    <x:col min="5" max="5" width="15" hidden="0" customWidth="1"/>
    <x:col min="6" max="6" width="22" hidden="0" customWidth="1"/>
    <x:col min="7" max="7" width="35" hidden="0" customWidth="1"/>
    <x:col min="8" max="8" width="3" hidden="0" customWidth="1"/>
    <x:col min="9" max="9" width="28" hidden="0" customWidth="1"/>
    <x:col min="10" max="10" width="22" hidden="0" customWidth="1"/>
    <x:col min="11" max="11" width="15" hidden="0" customWidth="1"/>
    <x:col min="12" max="12" width="22" hidden="0" customWidth="1"/>
    <x:col min="13" max="13" width="35" hidden="0" customWidth="1"/>
  </x:cols>
  <x:sheetData>
    <x:row r="1">
      <x:c r="A1" s="2"/>
      <x:c r="B1" s="2"/>
      <x:c r="C1" s="2"/>
      <x:c r="D1" s="2"/>
      <x:c r="E1" s="2"/>
      <x:c r="F1" s="2"/>
      <x:c r="G1" s="2"/>
      <x:c r="H1" s="2"/>
      <x:c r="I1" s="2"/>
      <x:c r="J1" s="2"/>
      <x:c r="K1" s="2"/>
      <x:c r="L1" s="2"/>
      <x:c r="M1" s="2"/>
      <x:c r="N1" s="2"/>
    </x:row>
    <x:row r="2" ht="25" customHeight="1">
      <x:c r="A2" s="2"/>
      <x:c r="B2" s="2"/>
      <x:c r="C2" s="386" t="str">
        <x:v>Transaction unit economics</x:v>
      </x:c>
      <x:c r="D2" s="3" t="str">
        <x:v>Transaction unit economics</x:v>
      </x:c>
      <x:c r="E2" s="3" t="str">
        <x:v>Transaction unit economics</x:v>
      </x:c>
      <x:c r="F2" s="3" t="str">
        <x:v>Transaction unit economics</x:v>
      </x:c>
      <x:c r="G2" s="3" t="str">
        <x:v>Transaction unit economics</x:v>
      </x:c>
      <x:c r="H2" s="3" t="str">
        <x:v>Transaction unit economics</x:v>
      </x:c>
      <x:c r="I2" s="3" t="str">
        <x:v>Transaction unit economics</x:v>
      </x:c>
      <x:c r="J2" s="3" t="str">
        <x:v>Transaction unit economics</x:v>
      </x:c>
      <x:c r="K2" s="3" t="str">
        <x:v>Transaction unit economics</x:v>
      </x:c>
      <x:c r="L2" s="3" t="str">
        <x:v>Transaction unit economics</x:v>
      </x:c>
      <x:c r="M2" s="3" t="str">
        <x:v>Transaction unit economics</x:v>
      </x:c>
      <x:c r="N2" s="3" t="str">
        <x:v>Transaction unit economics</x:v>
      </x:c>
    </x:row>
    <x:row r="3">
      <x:c r="A3" s="2"/>
      <x:c r="B3" s="2"/>
      <x:c r="C3" s="2"/>
      <x:c r="D3" s="2"/>
      <x:c r="E3" s="2"/>
      <x:c r="F3" s="2"/>
      <x:c r="G3" s="2"/>
      <x:c r="H3" s="2"/>
      <x:c r="I3" s="2"/>
      <x:c r="J3" s="2"/>
      <x:c r="K3" s="2"/>
      <x:c r="L3" s="2"/>
      <x:c r="M3" s="2"/>
      <x:c r="N3" s="2"/>
    </x:row>
    <x:row r="4">
      <x:c r="A4" s="2"/>
      <x:c r="B4" s="2"/>
      <x:c r="C4" s="95" t="str">
        <x:v>Case selected:</x:v>
      </x:c>
      <x:c r="D4" s="98" t="str">
        <x:f>'Assumptions'!E4</x:f>
        <x:v>Base</x:v>
      </x:c>
      <x:c r="E4" s="2"/>
      <x:c r="F4" s="4" t="str">
        <x:v>Illustrative transaction sizes; fee and cost rates link to the selected case.</x:v>
      </x:c>
      <x:c r="G4" s="4" t="str">
        <x:v>Illustrative transaction sizes; fee and cost rates link to the selected case.</x:v>
      </x:c>
      <x:c r="H4" s="4" t="str">
        <x:v>Illustrative transaction sizes; fee and cost rates link to the selected case.</x:v>
      </x:c>
      <x:c r="I4" s="4" t="str">
        <x:v>Illustrative transaction sizes; fee and cost rates link to the selected case.</x:v>
      </x:c>
      <x:c r="J4" s="4" t="str">
        <x:v>Illustrative transaction sizes; fee and cost rates link to the selected case.</x:v>
      </x:c>
      <x:c r="K4" s="4" t="str">
        <x:v>Illustrative transaction sizes; fee and cost rates link to the selected case.</x:v>
      </x:c>
      <x:c r="L4" s="4" t="str">
        <x:v>Illustrative transaction sizes; fee and cost rates link to the selected case.</x:v>
      </x:c>
      <x:c r="M4" s="4" t="str">
        <x:v>Illustrative transaction sizes; fee and cost rates link to the selected case.</x:v>
      </x:c>
      <x:c r="N4" s="4" t="str">
        <x:v>Illustrative transaction sizes; fee and cost rates link to the selected case.</x:v>
      </x:c>
    </x:row>
    <x:row r="5">
      <x:c r="A5" s="2"/>
      <x:c r="B5" s="2"/>
      <x:c r="C5" s="2"/>
      <x:c r="D5" s="2"/>
      <x:c r="E5" s="2"/>
      <x:c r="F5" s="2"/>
      <x:c r="G5" s="2"/>
      <x:c r="H5" s="2"/>
      <x:c r="I5" s="2"/>
      <x:c r="J5" s="2"/>
      <x:c r="K5" s="2"/>
      <x:c r="L5" s="2"/>
      <x:c r="M5" s="2"/>
      <x:c r="N5" s="2"/>
    </x:row>
    <x:row r="6" ht="20" customHeight="1">
      <x:c r="A6" s="2"/>
      <x:c r="B6" s="2"/>
      <x:c r="C6" s="16" t="str">
        <x:v>RELOOP RECOVERY LOT</x:v>
      </x:c>
      <x:c r="D6" s="17" t="str">
        <x:v>RELOOP RECOVERY LOT</x:v>
      </x:c>
      <x:c r="E6" s="17" t="str">
        <x:v>RELOOP RECOVERY LOT</x:v>
      </x:c>
      <x:c r="F6" s="17" t="str">
        <x:v>RELOOP RECOVERY LOT</x:v>
      </x:c>
      <x:c r="G6" s="18" t="str">
        <x:v>RELOOP RECOVERY LOT</x:v>
      </x:c>
      <x:c r="H6" s="2"/>
      <x:c r="I6" s="103" t="str">
        <x:v>MEESHO SOURCE ORDER</x:v>
      </x:c>
      <x:c r="J6" s="104" t="str">
        <x:v>MEESHO SOURCE ORDER</x:v>
      </x:c>
      <x:c r="K6" s="104" t="str">
        <x:v>MEESHO SOURCE ORDER</x:v>
      </x:c>
      <x:c r="L6" s="104" t="str">
        <x:v>MEESHO SOURCE ORDER</x:v>
      </x:c>
      <x:c r="M6" s="105" t="str">
        <x:v>MEESHO SOURCE ORDER</x:v>
      </x:c>
      <x:c r="N6" s="2"/>
    </x:row>
    <x:row r="7" ht="21" customHeight="1">
      <x:c r="A7" s="2"/>
      <x:c r="B7" s="2"/>
      <x:c r="C7" s="23" t="str">
        <x:v>Line item</x:v>
      </x:c>
      <x:c r="D7" s="23" t="str">
        <x:v>Formula</x:v>
      </x:c>
      <x:c r="E7" s="23" t="str">
        <x:v>Value</x:v>
      </x:c>
      <x:c r="F7" s="23" t="str">
        <x:v>Payer / recipient</x:v>
      </x:c>
      <x:c r="G7" s="23" t="str">
        <x:v>Notes</x:v>
      </x:c>
      <x:c r="H7" s="2"/>
      <x:c r="I7" s="23" t="str">
        <x:v>Line item</x:v>
      </x:c>
      <x:c r="J7" s="23" t="str">
        <x:v>Formula</x:v>
      </x:c>
      <x:c r="K7" s="23" t="str">
        <x:v>Value</x:v>
      </x:c>
      <x:c r="L7" s="23" t="str">
        <x:v>Payer / recipient</x:v>
      </x:c>
      <x:c r="M7" s="23" t="str">
        <x:v>Notes</x:v>
      </x:c>
      <x:c r="N7" s="2"/>
    </x:row>
    <x:row r="8" ht="21" customHeight="1">
      <x:c r="A8" s="2"/>
      <x:c r="B8" s="2"/>
      <x:c r="C8" s="24" t="str">
        <x:v>Original merchandise value</x:v>
      </x:c>
      <x:c r="D8" s="24" t="str">
        <x:v>Input</x:v>
      </x:c>
      <x:c r="E8" s="280" t="n">
        <x:v>1000000</x:v>
      </x:c>
      <x:c r="F8" s="24" t="str">
        <x:v>Reference</x:v>
      </x:c>
      <x:c r="G8" s="24" t="str">
        <x:v>Illustrative lot</x:v>
      </x:c>
      <x:c r="H8" s="2"/>
      <x:c r="I8" s="24" t="str">
        <x:v>Source order value</x:v>
      </x:c>
      <x:c r="J8" s="24" t="str">
        <x:v>Input</x:v>
      </x:c>
      <x:c r="K8" s="280" t="n">
        <x:v>100000</x:v>
      </x:c>
      <x:c r="L8" s="24" t="str">
        <x:v>Seller -&gt; wholesaler</x:v>
      </x:c>
      <x:c r="M8" s="24" t="str">
        <x:v>Illustrative procurement order</x:v>
      </x:c>
      <x:c r="N8" s="2"/>
    </x:row>
    <x:row r="9" ht="21" customHeight="1">
      <x:c r="A9" s="2"/>
      <x:c r="B9" s="2"/>
      <x:c r="C9" s="25" t="str">
        <x:v>Winning bid value</x:v>
      </x:c>
      <x:c r="D9" s="25" t="str">
        <x:v>Original x recovery price</x:v>
      </x:c>
      <x:c r="E9" s="281" t="n">
        <x:f>E8*'Assumptions'!E21</x:f>
        <x:v>350000</x:v>
      </x:c>
      <x:c r="F9" s="25" t="str">
        <x:v>Recovery buyer -&gt; seller</x:v>
      </x:c>
      <x:c r="G9" s="25" t="str">
        <x:v>Seller receives full bid</x:v>
      </x:c>
      <x:c r="H9" s="2"/>
      <x:c r="I9" s="25" t="str">
        <x:v>Blended Source fee</x:v>
      </x:c>
      <x:c r="J9" s="25" t="str">
        <x:v>Order x fee</x:v>
      </x:c>
      <x:c r="K9" s="281" t="n">
        <x:f>K8*'Assumptions'!E32</x:f>
        <x:v>4500</x:v>
      </x:c>
      <x:c r="L9" s="25" t="str">
        <x:v>Wholesaler -&gt; Meesho</x:v>
      </x:c>
      <x:c r="M9" s="25" t="str">
        <x:v>Supplier-funded marketplace fee</x:v>
      </x:c>
      <x:c r="N9" s="2"/>
    </x:row>
    <x:row r="10" ht="21" customHeight="1">
      <x:c r="A10" s="2"/>
      <x:c r="B10" s="2"/>
      <x:c r="C10" s="25" t="str">
        <x:v>Buyer Trust Premium</x:v>
      </x:c>
      <x:c r="D10" s="25" t="str">
        <x:v>Winning bid x premium</x:v>
      </x:c>
      <x:c r="E10" s="281" t="n">
        <x:f>E9*'Assumptions'!E24</x:f>
        <x:v>43750</x:v>
      </x:c>
      <x:c r="F10" s="25" t="str">
        <x:v>Recovery buyer -&gt; Meesho</x:v>
      </x:c>
      <x:c r="G10" s="25" t="str">
        <x:v>Separate from seller payout</x:v>
      </x:c>
      <x:c r="H10" s="2"/>
      <x:c r="I10" s="25" t="str">
        <x:v>Seller platform fee</x:v>
      </x:c>
      <x:c r="J10" s="25" t="str">
        <x:v>Core access</x:v>
      </x:c>
      <x:c r="K10" s="281" t="n">
        <x:v>0</x:v>
      </x:c>
      <x:c r="L10" s="25" t="str">
        <x:v>Seller</x:v>
      </x:c>
      <x:c r="M10" s="25" t="str">
        <x:v>Verified RFQ and price comparison remain free</x:v>
      </x:c>
      <x:c r="N10" s="2"/>
    </x:row>
    <x:row r="11" ht="21" customHeight="1">
      <x:c r="A11" s="2"/>
      <x:c r="B11" s="2"/>
      <x:c r="C11" s="25" t="str">
        <x:v>Buyer cash outflow</x:v>
      </x:c>
      <x:c r="D11" s="25" t="str">
        <x:v>Bid + premium</x:v>
      </x:c>
      <x:c r="E11" s="281" t="n">
        <x:f>SUM(E9:E10)</x:f>
        <x:v>393750</x:v>
      </x:c>
      <x:c r="F11" s="25" t="str">
        <x:v>Recovery buyer</x:v>
      </x:c>
      <x:c r="G11" s="25" t="str">
        <x:v>Excludes GST and Valmo pass-through</x:v>
      </x:c>
      <x:c r="H11" s="2"/>
      <x:c r="I11" s="25" t="str">
        <x:v>Direct transaction cost</x:v>
      </x:c>
      <x:c r="J11" s="25" t="str">
        <x:v>Order x cost rate</x:v>
      </x:c>
      <x:c r="K11" s="281" t="n">
        <x:f>K8*'Assumptions'!E34</x:f>
        <x:v>2000</x:v>
      </x:c>
      <x:c r="L11" s="25" t="str">
        <x:v>Meesho</x:v>
      </x:c>
      <x:c r="M11" s="25" t="str">
        <x:v>Payment, claims and servicing</x:v>
      </x:c>
      <x:c r="N11" s="2"/>
    </x:row>
    <x:row r="12" ht="21" customHeight="1">
      <x:c r="A12" s="2"/>
      <x:c r="B12" s="2"/>
      <x:c r="C12" s="25" t="str">
        <x:v>Direct transaction cost</x:v>
      </x:c>
      <x:c r="D12" s="25" t="str">
        <x:v>Winning bid x cost rate</x:v>
      </x:c>
      <x:c r="E12" s="281" t="n">
        <x:f>E9*'Assumptions'!E26</x:f>
        <x:v>19250</x:v>
      </x:c>
      <x:c r="F12" s="25" t="str">
        <x:v>Meesho</x:v>
      </x:c>
      <x:c r="G12" s="25" t="str">
        <x:v>Verification, escrow, claims, servicing</x:v>
      </x:c>
      <x:c r="H12" s="2"/>
      <x:c r="I12" s="25" t="str">
        <x:v>Contribution</x:v>
      </x:c>
      <x:c r="J12" s="25" t="str">
        <x:v>Fee - direct cost</x:v>
      </x:c>
      <x:c r="K12" s="281" t="n">
        <x:f>K9-K11</x:f>
        <x:v>2500</x:v>
      </x:c>
      <x:c r="L12" s="25" t="str">
        <x:v>Meesho</x:v>
      </x:c>
      <x:c r="M12" s="25" t="str">
        <x:v>Before fixed launch cost</x:v>
      </x:c>
      <x:c r="N12" s="2"/>
    </x:row>
    <x:row r="13" ht="21" customHeight="1">
      <x:c r="A13" s="2"/>
      <x:c r="B13" s="2"/>
      <x:c r="C13" s="25" t="str">
        <x:v>Contribution</x:v>
      </x:c>
      <x:c r="D13" s="25" t="str">
        <x:v>Premium - direct cost</x:v>
      </x:c>
      <x:c r="E13" s="281" t="n">
        <x:f>E10-E12</x:f>
        <x:v>24500</x:v>
      </x:c>
      <x:c r="F13" s="25" t="str">
        <x:v>Meesho</x:v>
      </x:c>
      <x:c r="G13" s="25" t="str">
        <x:v>Before fixed launch cost</x:v>
      </x:c>
      <x:c r="H13" s="2"/>
      <x:c r="I13" s="25" t="str">
        <x:v>Contribution margin</x:v>
      </x:c>
      <x:c r="J13" s="25" t="str">
        <x:v>Contribution / revenue</x:v>
      </x:c>
      <x:c r="K13" s="282" t="n">
        <x:f>K12/K9</x:f>
        <x:v>0.5555555555555556</x:v>
      </x:c>
      <x:c r="L13" s="25" t="str">
        <x:v>Meesho</x:v>
      </x:c>
      <x:c r="M13" s="25" t="str">
        <x:v>Transaction-level margin</x:v>
      </x:c>
      <x:c r="N13" s="2"/>
    </x:row>
    <x:row r="14" ht="21" customHeight="1">
      <x:c r="A14" s="2"/>
      <x:c r="B14" s="2"/>
      <x:c r="C14" s="26" t="str">
        <x:v>Contribution margin</x:v>
      </x:c>
      <x:c r="D14" s="26" t="str">
        <x:v>Contribution / revenue</x:v>
      </x:c>
      <x:c r="E14" s="155" t="n">
        <x:f>E13/E10</x:f>
        <x:v>0.56</x:v>
      </x:c>
      <x:c r="F14" s="26" t="str">
        <x:v>Meesho</x:v>
      </x:c>
      <x:c r="G14" s="26" t="str">
        <x:v>Transaction-level margin</x:v>
      </x:c>
      <x:c r="H14" s="2"/>
      <x:c r="I14" s="26" t="str">
        <x:v>Seller pays</x:v>
      </x:c>
      <x:c r="J14" s="26" t="str">
        <x:v>Order value only</x:v>
      </x:c>
      <x:c r="K14" s="283" t="n">
        <x:f>K8</x:f>
        <x:v>100000</x:v>
      </x:c>
      <x:c r="L14" s="26" t="str">
        <x:v>Seller</x:v>
      </x:c>
      <x:c r="M14" s="26" t="str">
        <x:v>No commission on Meesho B2C sales</x:v>
      </x:c>
      <x:c r="N14" s="2"/>
    </x:row>
    <x:row r="15" ht="21" customHeight="1">
      <x:c r="A15" s="2"/>
      <x:c r="B15" s="2"/>
      <x:c r="C15" s="2"/>
      <x:c r="D15" s="2"/>
      <x:c r="E15" s="2"/>
      <x:c r="F15" s="2"/>
      <x:c r="G15" s="2"/>
      <x:c r="H15" s="2"/>
      <x:c r="I15" s="2"/>
      <x:c r="J15" s="2"/>
      <x:c r="K15" s="2"/>
      <x:c r="L15" s="2"/>
      <x:c r="M15" s="2"/>
      <x:c r="N15" s="2"/>
    </x:row>
    <x:row r="16" ht="21" customHeight="1">
      <x:c r="A16" s="2"/>
      <x:c r="B16" s="2"/>
      <x:c r="C16" s="2"/>
      <x:c r="D16" s="2"/>
      <x:c r="E16" s="2"/>
      <x:c r="F16" s="2"/>
      <x:c r="G16" s="2"/>
      <x:c r="H16" s="2"/>
      <x:c r="I16" s="2"/>
      <x:c r="J16" s="2"/>
      <x:c r="K16" s="2"/>
      <x:c r="L16" s="2"/>
      <x:c r="M16" s="2"/>
      <x:c r="N16" s="2"/>
    </x:row>
    <x:row r="17" ht="21" customHeight="1">
      <x:c r="A17" s="2"/>
      <x:c r="B17" s="2"/>
      <x:c r="C17" s="16" t="str">
        <x:v>ANNUAL CONTRIBUTION AND BREAK-EVEN</x:v>
      </x:c>
      <x:c r="D17" s="17" t="str">
        <x:v>ANNUAL CONTRIBUTION AND BREAK-EVEN</x:v>
      </x:c>
      <x:c r="E17" s="17" t="str">
        <x:v>ANNUAL CONTRIBUTION AND BREAK-EVEN</x:v>
      </x:c>
      <x:c r="F17" s="17" t="str">
        <x:v>ANNUAL CONTRIBUTION AND BREAK-EVEN</x:v>
      </x:c>
      <x:c r="G17" s="17" t="str">
        <x:v>ANNUAL CONTRIBUTION AND BREAK-EVEN</x:v>
      </x:c>
      <x:c r="H17" s="17" t="str">
        <x:v>ANNUAL CONTRIBUTION AND BREAK-EVEN</x:v>
      </x:c>
      <x:c r="I17" s="17" t="str">
        <x:v>ANNUAL CONTRIBUTION AND BREAK-EVEN</x:v>
      </x:c>
      <x:c r="J17" s="17" t="str">
        <x:v>ANNUAL CONTRIBUTION AND BREAK-EVEN</x:v>
      </x:c>
      <x:c r="K17" s="17" t="str">
        <x:v>ANNUAL CONTRIBUTION AND BREAK-EVEN</x:v>
      </x:c>
      <x:c r="L17" s="17" t="str">
        <x:v>ANNUAL CONTRIBUTION AND BREAK-EVEN</x:v>
      </x:c>
      <x:c r="M17" s="18" t="str">
        <x:v>ANNUAL CONTRIBUTION AND BREAK-EVEN</x:v>
      </x:c>
      <x:c r="N17" s="2"/>
    </x:row>
    <x:row r="18" ht="21" customHeight="1">
      <x:c r="A18" s="2"/>
      <x:c r="B18" s="2"/>
      <x:c r="C18" s="23" t="str">
        <x:v>Metric</x:v>
      </x:c>
      <x:c r="D18" s="23" t="str">
        <x:v>Year 1</x:v>
      </x:c>
      <x:c r="E18" s="23" t="str">
        <x:v>Steady state</x:v>
      </x:c>
      <x:c r="F18" s="23" t="str">
        <x:v>Unit</x:v>
      </x:c>
      <x:c r="G18" s="23" t="str">
        <x:v>Interpretation</x:v>
      </x:c>
      <x:c r="H18" s="2"/>
      <x:c r="I18" s="23" t="str">
        <x:v>WHY YEAR 1 IS LOWER</x:v>
      </x:c>
      <x:c r="J18" s="23" t="str">
        <x:v>WHY YEAR 1 IS LOWER</x:v>
      </x:c>
      <x:c r="K18" s="23" t="str">
        <x:v>WHY YEAR 1 IS LOWER</x:v>
      </x:c>
      <x:c r="L18" s="23" t="str">
        <x:v>WHY YEAR 1 IS LOWER</x:v>
      </x:c>
      <x:c r="M18" s="23" t="str">
        <x:v>WHY YEAR 1 IS LOWER</x:v>
      </x:c>
      <x:c r="N18" s="2"/>
    </x:row>
    <x:row r="19" ht="21" customHeight="1">
      <x:c r="A19" s="2"/>
      <x:c r="B19" s="2"/>
      <x:c r="C19" s="90" t="str">
        <x:v>ReLoop contribution</x:v>
      </x:c>
      <x:c r="D19" s="146" t="n">
        <x:f>'Monthly Model'!Q25</x:f>
        <x:v>11.37708117</x:v>
      </x:c>
      <x:c r="E19" s="146" t="n">
        <x:f>'Monthly Model'!R25</x:f>
        <x:v>25.2824026</x:v>
      </x:c>
      <x:c r="F19" s="24" t="str">
        <x:v>INR cr</x:v>
      </x:c>
      <x:c r="G19" s="24" t="str">
        <x:v>Premium less variable recovery costs</x:v>
      </x:c>
      <x:c r="H19" s="2"/>
      <x:c r="I19" s="285" t="str">
        <x:v>ReLoop average Year 1 ramp</x:v>
      </x:c>
      <x:c r="J19" s="285"/>
      <x:c r="K19" s="285"/>
      <x:c r="L19" s="287" t="n">
        <x:f>'Assumptions'!E25</x:f>
        <x:v>0.44999999999999996</x:v>
      </x:c>
      <x:c r="M19" s="287"/>
      <x:c r="N19" s="2"/>
    </x:row>
    <x:row r="20" ht="21" customHeight="1">
      <x:c r="A20" s="2"/>
      <x:c r="B20" s="2"/>
      <x:c r="C20" s="91" t="str">
        <x:v>Source contribution</x:v>
      </x:c>
      <x:c r="D20" s="149" t="n">
        <x:f>'Monthly Model'!Q32</x:f>
        <x:v>40.00150000000001</x:v>
      </x:c>
      <x:c r="E20" s="149" t="n">
        <x:f>'Monthly Model'!R32</x:f>
        <x:v>200.0075</x:v>
      </x:c>
      <x:c r="F20" s="25" t="str">
        <x:v>INR cr</x:v>
      </x:c>
      <x:c r="G20" s="25" t="str">
        <x:v>Fee less transaction costs</x:v>
      </x:c>
      <x:c r="H20" s="2"/>
      <x:c r="I20" s="285" t="str">
        <x:v>Source launch</x:v>
      </x:c>
      <x:c r="J20" s="285"/>
      <x:c r="K20" s="285"/>
      <x:c r="L20" s="286" t="str">
        <x:v>Month 7</x:v>
      </x:c>
      <x:c r="M20" s="286"/>
      <x:c r="N20" s="2"/>
    </x:row>
    <x:row r="21" ht="21" customHeight="1">
      <x:c r="A21" s="2"/>
      <x:c r="B21" s="2"/>
      <x:c r="C21" s="91" t="str">
        <x:v>Total contribution before fixed costs</x:v>
      </x:c>
      <x:c r="D21" s="149" t="n">
        <x:f>SUM(D19:D20)</x:f>
        <x:v>51.378581170000004</x:v>
      </x:c>
      <x:c r="E21" s="149" t="n">
        <x:f>SUM(E19:E20)</x:f>
        <x:v>225.2899026</x:v>
      </x:c>
      <x:c r="F21" s="25" t="str">
        <x:v>INR cr</x:v>
      </x:c>
      <x:c r="G21" s="25" t="str">
        <x:v>Gross contribution from both phases</x:v>
      </x:c>
      <x:c r="H21" s="2"/>
      <x:c r="I21" s="285" t="str">
        <x:v>Source average Year 1 ramp</x:v>
      </x:c>
      <x:c r="J21" s="285"/>
      <x:c r="K21" s="285"/>
      <x:c r="L21" s="287" t="n">
        <x:f>'Assumptions'!E33</x:f>
        <x:v>0.20000000000000004</x:v>
      </x:c>
      <x:c r="M21" s="287"/>
      <x:c r="N21" s="2"/>
    </x:row>
    <x:row r="22" ht="21" customHeight="1">
      <x:c r="A22" s="2"/>
      <x:c r="B22" s="2"/>
      <x:c r="C22" s="91" t="str">
        <x:v>Fixed launch cost</x:v>
      </x:c>
      <x:c r="D22" s="149" t="n">
        <x:f>'Assumptions'!E35</x:f>
        <x:v>45</x:v>
      </x:c>
      <x:c r="E22" s="149" t="n">
        <x:f>'Assumptions'!E35</x:f>
        <x:v>45</x:v>
      </x:c>
      <x:c r="F22" s="25" t="str">
        <x:v>INR cr</x:v>
      </x:c>
      <x:c r="G22" s="25" t="str">
        <x:v>Product, operations, trust and acquisition</x:v>
      </x:c>
      <x:c r="H22" s="2"/>
      <x:c r="I22" s="285" t="str">
        <x:v>Year 1 revenue</x:v>
      </x:c>
      <x:c r="J22" s="285"/>
      <x:c r="K22" s="285"/>
      <x:c r="L22" s="288" t="n">
        <x:f>'Monthly Model'!Q35</x:f>
        <x:v>92.318916375</x:v>
      </x:c>
      <x:c r="M22" s="288"/>
      <x:c r="N22" s="2"/>
    </x:row>
    <x:row r="23" ht="21" customHeight="1">
      <x:c r="A23" s="2"/>
      <x:c r="B23" s="2"/>
      <x:c r="C23" s="315" t="str">
        <x:v>Operating contribution</x:v>
      </x:c>
      <x:c r="D23" s="171" t="n">
        <x:f>D21-D22</x:f>
        <x:v>6.378581170000004</x:v>
      </x:c>
      <x:c r="E23" s="171" t="n">
        <x:f>E21-E22</x:f>
        <x:v>180.2899026</x:v>
      </x:c>
      <x:c r="F23" s="248" t="str">
        <x:v>INR cr</x:v>
      </x:c>
      <x:c r="G23" s="248" t="str">
        <x:v>Before central corporate overhead and tax</x:v>
      </x:c>
      <x:c r="H23" s="2"/>
      <x:c r="I23" s="285" t="str">
        <x:v>Steady-state revenue</x:v>
      </x:c>
      <x:c r="J23" s="285"/>
      <x:c r="K23" s="285"/>
      <x:c r="L23" s="288" t="n">
        <x:f>'Monthly Model'!R35</x:f>
        <x:v>405.16064750000004</x:v>
      </x:c>
      <x:c r="M23" s="288"/>
      <x:c r="N23" s="2"/>
    </x:row>
    <x:row r="24" ht="21" customHeight="1">
      <x:c r="A24" s="2"/>
      <x:c r="B24" s="2"/>
      <x:c r="C24" s="91" t="str">
        <x:v>Operating margin</x:v>
      </x:c>
      <x:c r="D24" s="282" t="n">
        <x:f>D23/'Monthly Model'!Q35</x:f>
        <x:v>0.06909289472257417</x:v>
      </x:c>
      <x:c r="E24" s="282" t="n">
        <x:f>E23/'Monthly Model'!R35</x:f>
        <x:v>0.444983745860955</x:v>
      </x:c>
      <x:c r="F24" s="25" t="str">
        <x:v>% revenue</x:v>
      </x:c>
      <x:c r="G24" s="25" t="str">
        <x:v>Operating contribution / new revenue</x:v>
      </x:c>
      <x:c r="H24" s="2"/>
      <x:c r="I24" s="285" t="str">
        <x:v>Steady-state target coverage</x:v>
      </x:c>
      <x:c r="J24" s="285"/>
      <x:c r="K24" s="285"/>
      <x:c r="L24" s="289" t="n">
        <x:f>'Monthly Model'!R36/'Assumptions'!E9</x:f>
        <x:v>0.97488125</x:v>
      </x:c>
      <x:c r="M24" s="289"/>
      <x:c r="N24" s="2"/>
    </x:row>
    <x:row r="25" ht="21" customHeight="1">
      <x:c r="A25" s="2"/>
      <x:c r="B25" s="2"/>
      <x:c r="C25" s="92" t="str">
        <x:v>Source GMV needed to cover fixed cost</x:v>
      </x:c>
      <x:c r="D25" s="284" t="n">
        <x:f>MAX(0,(D22-D19)/('Assumptions'!E32-'Assumptions'!E34))</x:f>
        <x:v>1344.9167532000001</x:v>
      </x:c>
      <x:c r="E25" s="284" t="n">
        <x:f>MAX(0,(E22-E19)/('Assumptions'!E32-'Assumptions'!E34))</x:f>
        <x:v>788.703896</x:v>
      </x:c>
      <x:c r="F25" s="26" t="str">
        <x:v>INR cr</x:v>
      </x:c>
      <x:c r="G25" s="26" t="str">
        <x:v>After applying ReLoop contribution</x:v>
      </x:c>
      <x:c r="H25" s="2"/>
      <x:c r="I25" s="294" t="str">
        <x:v>Source begins only after ReLoop has built verified buyer, supplier and realised-price data.</x:v>
      </x:c>
      <x:c r="J25" s="295" t="str">
        <x:v>Source begins only after ReLoop has built verified buyer, supplier and realised-price data.</x:v>
      </x:c>
      <x:c r="K25" s="295" t="str">
        <x:v>Source begins only after ReLoop has built verified buyer, supplier and realised-price data.</x:v>
      </x:c>
      <x:c r="L25" s="295" t="str">
        <x:v>Source begins only after ReLoop has built verified buyer, supplier and realised-price data.</x:v>
      </x:c>
      <x:c r="M25" s="296" t="str">
        <x:v>Source begins only after ReLoop has built verified buyer, supplier and realised-price data.</x:v>
      </x:c>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306" t="str">
        <x:v>Guardrail: the model excludes deductions from a seller's Meesho consumer-sale proceeds. Seller recovery payout equals the accepted winning bid. Valmo logistics, GST, credit income and ad revenue are excluded rather than used to force the 1% result.</x:v>
      </x:c>
      <x:c r="D28" s="307" t="str">
        <x:v>Guardrail: the model excludes deductions from a seller's Meesho consumer-sale proceeds. Seller recovery payout equals the accepted winning bid. Valmo logistics, GST, credit income and ad revenue are excluded rather than used to force the 1% result.</x:v>
      </x:c>
      <x:c r="E28" s="307" t="str">
        <x:v>Guardrail: the model excludes deductions from a seller's Meesho consumer-sale proceeds. Seller recovery payout equals the accepted winning bid. Valmo logistics, GST, credit income and ad revenue are excluded rather than used to force the 1% result.</x:v>
      </x:c>
      <x:c r="F28" s="307" t="str">
        <x:v>Guardrail: the model excludes deductions from a seller's Meesho consumer-sale proceeds. Seller recovery payout equals the accepted winning bid. Valmo logistics, GST, credit income and ad revenue are excluded rather than used to force the 1% result.</x:v>
      </x:c>
      <x:c r="G28" s="307" t="str">
        <x:v>Guardrail: the model excludes deductions from a seller's Meesho consumer-sale proceeds. Seller recovery payout equals the accepted winning bid. Valmo logistics, GST, credit income and ad revenue are excluded rather than used to force the 1% result.</x:v>
      </x:c>
      <x:c r="H28" s="307" t="str">
        <x:v>Guardrail: the model excludes deductions from a seller's Meesho consumer-sale proceeds. Seller recovery payout equals the accepted winning bid. Valmo logistics, GST, credit income and ad revenue are excluded rather than used to force the 1% result.</x:v>
      </x:c>
      <x:c r="I28" s="307" t="str">
        <x:v>Guardrail: the model excludes deductions from a seller's Meesho consumer-sale proceeds. Seller recovery payout equals the accepted winning bid. Valmo logistics, GST, credit income and ad revenue are excluded rather than used to force the 1% result.</x:v>
      </x:c>
      <x:c r="J28" s="307" t="str">
        <x:v>Guardrail: the model excludes deductions from a seller's Meesho consumer-sale proceeds. Seller recovery payout equals the accepted winning bid. Valmo logistics, GST, credit income and ad revenue are excluded rather than used to force the 1% result.</x:v>
      </x:c>
      <x:c r="K28" s="307" t="str">
        <x:v>Guardrail: the model excludes deductions from a seller's Meesho consumer-sale proceeds. Seller recovery payout equals the accepted winning bid. Valmo logistics, GST, credit income and ad revenue are excluded rather than used to force the 1% result.</x:v>
      </x:c>
      <x:c r="L28" s="307" t="str">
        <x:v>Guardrail: the model excludes deductions from a seller's Meesho consumer-sale proceeds. Seller recovery payout equals the accepted winning bid. Valmo logistics, GST, credit income and ad revenue are excluded rather than used to force the 1% result.</x:v>
      </x:c>
      <x:c r="M28" s="308" t="str">
        <x:v>Guardrail: the model excludes deductions from a seller's Meesho consumer-sale proceeds. Seller recovery payout equals the accepted winning bid. Valmo logistics, GST, credit income and ad revenue are excluded rather than used to force the 1% result.</x:v>
      </x:c>
      <x:c r="N28" s="2"/>
    </x:row>
    <x:row r="29">
      <x:c r="A29" s="2"/>
      <x:c r="B29" s="2"/>
      <x:c r="C29" s="309" t="str">
        <x:v>Guardrail: the model excludes deductions from a seller's Meesho consumer-sale proceeds. Seller recovery payout equals the accepted winning bid. Valmo logistics, GST, credit income and ad revenue are excluded rather than used to force the 1% result.</x:v>
      </x:c>
      <x:c r="D29" s="310" t="str">
        <x:v>Guardrail: the model excludes deductions from a seller's Meesho consumer-sale proceeds. Seller recovery payout equals the accepted winning bid. Valmo logistics, GST, credit income and ad revenue are excluded rather than used to force the 1% result.</x:v>
      </x:c>
      <x:c r="E29" s="310" t="str">
        <x:v>Guardrail: the model excludes deductions from a seller's Meesho consumer-sale proceeds. Seller recovery payout equals the accepted winning bid. Valmo logistics, GST, credit income and ad revenue are excluded rather than used to force the 1% result.</x:v>
      </x:c>
      <x:c r="F29" s="310" t="str">
        <x:v>Guardrail: the model excludes deductions from a seller's Meesho consumer-sale proceeds. Seller recovery payout equals the accepted winning bid. Valmo logistics, GST, credit income and ad revenue are excluded rather than used to force the 1% result.</x:v>
      </x:c>
      <x:c r="G29" s="310" t="str">
        <x:v>Guardrail: the model excludes deductions from a seller's Meesho consumer-sale proceeds. Seller recovery payout equals the accepted winning bid. Valmo logistics, GST, credit income and ad revenue are excluded rather than used to force the 1% result.</x:v>
      </x:c>
      <x:c r="H29" s="310" t="str">
        <x:v>Guardrail: the model excludes deductions from a seller's Meesho consumer-sale proceeds. Seller recovery payout equals the accepted winning bid. Valmo logistics, GST, credit income and ad revenue are excluded rather than used to force the 1% result.</x:v>
      </x:c>
      <x:c r="I29" s="310" t="str">
        <x:v>Guardrail: the model excludes deductions from a seller's Meesho consumer-sale proceeds. Seller recovery payout equals the accepted winning bid. Valmo logistics, GST, credit income and ad revenue are excluded rather than used to force the 1% result.</x:v>
      </x:c>
      <x:c r="J29" s="310" t="str">
        <x:v>Guardrail: the model excludes deductions from a seller's Meesho consumer-sale proceeds. Seller recovery payout equals the accepted winning bid. Valmo logistics, GST, credit income and ad revenue are excluded rather than used to force the 1% result.</x:v>
      </x:c>
      <x:c r="K29" s="310" t="str">
        <x:v>Guardrail: the model excludes deductions from a seller's Meesho consumer-sale proceeds. Seller recovery payout equals the accepted winning bid. Valmo logistics, GST, credit income and ad revenue are excluded rather than used to force the 1% result.</x:v>
      </x:c>
      <x:c r="L29" s="310" t="str">
        <x:v>Guardrail: the model excludes deductions from a seller's Meesho consumer-sale proceeds. Seller recovery payout equals the accepted winning bid. Valmo logistics, GST, credit income and ad revenue are excluded rather than used to force the 1% result.</x:v>
      </x:c>
      <x:c r="M29" s="311" t="str">
        <x:v>Guardrail: the model excludes deductions from a seller's Meesho consumer-sale proceeds. Seller recovery payout equals the accepted winning bid. Valmo logistics, GST, credit income and ad revenue are excluded rather than used to force the 1% result.</x:v>
      </x:c>
      <x:c r="N29" s="2"/>
    </x:row>
    <x:row r="30">
      <x:c r="A30" s="2"/>
      <x:c r="B30" s="2"/>
      <x:c r="C30" s="312" t="str">
        <x:v>Guardrail: the model excludes deductions from a seller's Meesho consumer-sale proceeds. Seller recovery payout equals the accepted winning bid. Valmo logistics, GST, credit income and ad revenue are excluded rather than used to force the 1% result.</x:v>
      </x:c>
      <x:c r="D30" s="313" t="str">
        <x:v>Guardrail: the model excludes deductions from a seller's Meesho consumer-sale proceeds. Seller recovery payout equals the accepted winning bid. Valmo logistics, GST, credit income and ad revenue are excluded rather than used to force the 1% result.</x:v>
      </x:c>
      <x:c r="E30" s="313" t="str">
        <x:v>Guardrail: the model excludes deductions from a seller's Meesho consumer-sale proceeds. Seller recovery payout equals the accepted winning bid. Valmo logistics, GST, credit income and ad revenue are excluded rather than used to force the 1% result.</x:v>
      </x:c>
      <x:c r="F30" s="313" t="str">
        <x:v>Guardrail: the model excludes deductions from a seller's Meesho consumer-sale proceeds. Seller recovery payout equals the accepted winning bid. Valmo logistics, GST, credit income and ad revenue are excluded rather than used to force the 1% result.</x:v>
      </x:c>
      <x:c r="G30" s="313" t="str">
        <x:v>Guardrail: the model excludes deductions from a seller's Meesho consumer-sale proceeds. Seller recovery payout equals the accepted winning bid. Valmo logistics, GST, credit income and ad revenue are excluded rather than used to force the 1% result.</x:v>
      </x:c>
      <x:c r="H30" s="313" t="str">
        <x:v>Guardrail: the model excludes deductions from a seller's Meesho consumer-sale proceeds. Seller recovery payout equals the accepted winning bid. Valmo logistics, GST, credit income and ad revenue are excluded rather than used to force the 1% result.</x:v>
      </x:c>
      <x:c r="I30" s="313" t="str">
        <x:v>Guardrail: the model excludes deductions from a seller's Meesho consumer-sale proceeds. Seller recovery payout equals the accepted winning bid. Valmo logistics, GST, credit income and ad revenue are excluded rather than used to force the 1% result.</x:v>
      </x:c>
      <x:c r="J30" s="313" t="str">
        <x:v>Guardrail: the model excludes deductions from a seller's Meesho consumer-sale proceeds. Seller recovery payout equals the accepted winning bid. Valmo logistics, GST, credit income and ad revenue are excluded rather than used to force the 1% result.</x:v>
      </x:c>
      <x:c r="K30" s="313" t="str">
        <x:v>Guardrail: the model excludes deductions from a seller's Meesho consumer-sale proceeds. Seller recovery payout equals the accepted winning bid. Valmo logistics, GST, credit income and ad revenue are excluded rather than used to force the 1% result.</x:v>
      </x:c>
      <x:c r="L30" s="313" t="str">
        <x:v>Guardrail: the model excludes deductions from a seller's Meesho consumer-sale proceeds. Seller recovery payout equals the accepted winning bid. Valmo logistics, GST, credit income and ad revenue are excluded rather than used to force the 1% result.</x:v>
      </x:c>
      <x:c r="M30" s="314" t="str">
        <x:v>Guardrail: the model excludes deductions from a seller's Meesho consumer-sale proceeds. Seller recovery payout equals the accepted winning bid. Valmo logistics, GST, credit income and ad revenue are excluded rather than used to force the 1% result.</x:v>
      </x:c>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sheetData>
  <x:mergeCells>
    <x:mergeCell ref="C2:N2"/>
    <x:mergeCell ref="F4:N4"/>
    <x:mergeCell ref="C6:G6"/>
    <x:mergeCell ref="I6:M6"/>
    <x:mergeCell ref="C17:M17"/>
    <x:mergeCell ref="I18:M18"/>
    <x:mergeCell ref="I19:K19"/>
    <x:mergeCell ref="I20:K20"/>
    <x:mergeCell ref="I21:K21"/>
    <x:mergeCell ref="I22:K22"/>
    <x:mergeCell ref="I23:K23"/>
    <x:mergeCell ref="I24:K24"/>
    <x:mergeCell ref="L19:M19"/>
    <x:mergeCell ref="L20:M20"/>
    <x:mergeCell ref="L21:M21"/>
    <x:mergeCell ref="L22:M22"/>
    <x:mergeCell ref="L23:M23"/>
    <x:mergeCell ref="L24:M24"/>
    <x:mergeCell ref="I25:M25"/>
    <x:mergeCell ref="C28:M30"/>
  </x:mergeCells>
  <x:pageMargins left="0.7" right="0.7" top="0.75" bottom="0.75" header="0.3" footer="0.3"/>
</x:worksheet>
</file>

<file path=xl/worksheets/sheet5.xml><?xml version="1.0" encoding="utf-8"?>
<x:worksheet xmlns:x="http://schemas.openxmlformats.org/spreadsheetml/2006/main">
  <x:sheetPr>
    <x:tabColor rgb="FFF59E0B"/>
  </x:sheetPr>
  <x:sheetViews>
    <x:sheetView showGridLines="0" workbookViewId="0"/>
  </x:sheetViews>
  <x:sheetFormatPr defaultRowHeight="15"/>
  <x:cols>
    <x:col min="1" max="1" width="3" hidden="0" customWidth="1"/>
    <x:col min="2" max="2" width="3" hidden="0" customWidth="1"/>
    <x:col min="3" max="3" width="24" hidden="0" customWidth="1"/>
    <x:col min="4" max="4" width="13" hidden="0" customWidth="1"/>
    <x:col min="5" max="5" width="13" hidden="0" customWidth="1"/>
    <x:col min="6" max="6" width="42" hidden="0" customWidth="1"/>
    <x:col min="7" max="7" width="13" hidden="0" customWidth="1"/>
    <x:col min="8" max="8" width="13" hidden="0" customWidth="1"/>
    <x:col min="9" max="9" width="3" hidden="0" customWidth="1"/>
    <x:col min="10" max="10" width="25" hidden="0" customWidth="1"/>
    <x:col min="11" max="11" width="13" hidden="0" customWidth="1"/>
    <x:col min="12" max="12" width="13" hidden="0" customWidth="1"/>
    <x:col min="13" max="13" width="13" hidden="0" customWidth="1"/>
    <x:col min="14" max="14" width="13" hidden="0" customWidth="1"/>
  </x:cols>
  <x:sheetData>
    <x:row r="1">
      <x:c r="A1" s="2"/>
      <x:c r="B1" s="2"/>
      <x:c r="C1" s="2"/>
      <x:c r="D1" s="2"/>
      <x:c r="E1" s="2"/>
      <x:c r="F1" s="2"/>
      <x:c r="G1" s="2"/>
      <x:c r="H1" s="2"/>
      <x:c r="I1" s="2"/>
      <x:c r="J1" s="2"/>
      <x:c r="K1" s="2"/>
      <x:c r="L1" s="2"/>
      <x:c r="M1" s="2"/>
      <x:c r="N1" s="2"/>
    </x:row>
    <x:row r="2" ht="25" customHeight="1">
      <x:c r="A2" s="2"/>
      <x:c r="B2" s="2"/>
      <x:c r="C2" s="386" t="str">
        <x:v>Revenue sensitivity</x:v>
      </x:c>
      <x:c r="D2" s="3" t="str">
        <x:v>Revenue sensitivity</x:v>
      </x:c>
      <x:c r="E2" s="3" t="str">
        <x:v>Revenue sensitivity</x:v>
      </x:c>
      <x:c r="F2" s="3" t="str">
        <x:v>Revenue sensitivity</x:v>
      </x:c>
      <x:c r="G2" s="3" t="str">
        <x:v>Revenue sensitivity</x:v>
      </x:c>
      <x:c r="H2" s="3" t="str">
        <x:v>Revenue sensitivity</x:v>
      </x:c>
      <x:c r="I2" s="3" t="str">
        <x:v>Revenue sensitivity</x:v>
      </x:c>
      <x:c r="J2" s="3" t="str">
        <x:v>Revenue sensitivity</x:v>
      </x:c>
      <x:c r="K2" s="3" t="str">
        <x:v>Revenue sensitivity</x:v>
      </x:c>
      <x:c r="L2" s="3" t="str">
        <x:v>Revenue sensitivity</x:v>
      </x:c>
      <x:c r="M2" s="3" t="str">
        <x:v>Revenue sensitivity</x:v>
      </x:c>
      <x:c r="N2" s="3" t="str">
        <x:v>Revenue sensitivity</x:v>
      </x:c>
    </x:row>
    <x:row r="3">
      <x:c r="A3" s="2"/>
      <x:c r="B3" s="2"/>
      <x:c r="C3" s="4" t="str">
        <x:v>Formula-based sensitivities hold all non-displayed Base assumptions constant. Values are not additional scenarios.</x:v>
      </x:c>
      <x:c r="D3" s="4" t="str">
        <x:v>Formula-based sensitivities hold all non-displayed Base assumptions constant. Values are not additional scenarios.</x:v>
      </x:c>
      <x:c r="E3" s="4" t="str">
        <x:v>Formula-based sensitivities hold all non-displayed Base assumptions constant. Values are not additional scenarios.</x:v>
      </x:c>
      <x:c r="F3" s="4" t="str">
        <x:v>Formula-based sensitivities hold all non-displayed Base assumptions constant. Values are not additional scenarios.</x:v>
      </x:c>
      <x:c r="G3" s="4" t="str">
        <x:v>Formula-based sensitivities hold all non-displayed Base assumptions constant. Values are not additional scenarios.</x:v>
      </x:c>
      <x:c r="H3" s="4" t="str">
        <x:v>Formula-based sensitivities hold all non-displayed Base assumptions constant. Values are not additional scenarios.</x:v>
      </x:c>
      <x:c r="I3" s="4" t="str">
        <x:v>Formula-based sensitivities hold all non-displayed Base assumptions constant. Values are not additional scenarios.</x:v>
      </x:c>
      <x:c r="J3" s="4" t="str">
        <x:v>Formula-based sensitivities hold all non-displayed Base assumptions constant. Values are not additional scenarios.</x:v>
      </x:c>
      <x:c r="K3" s="4" t="str">
        <x:v>Formula-based sensitivities hold all non-displayed Base assumptions constant. Values are not additional scenarios.</x:v>
      </x:c>
      <x:c r="L3" s="4" t="str">
        <x:v>Formula-based sensitivities hold all non-displayed Base assumptions constant. Values are not additional scenarios.</x:v>
      </x:c>
      <x:c r="M3" s="4" t="str">
        <x:v>Formula-based sensitivities hold all non-displayed Base assumptions constant. Values are not additional scenarios.</x:v>
      </x:c>
      <x:c r="N3" s="4" t="str">
        <x:v>Formula-based sensitivities hold all non-displayed Base assumptions constant. Values are not additional scenarios.</x:v>
      </x:c>
    </x:row>
    <x:row r="4">
      <x:c r="A4" s="2"/>
      <x:c r="B4" s="2"/>
      <x:c r="C4" s="2"/>
      <x:c r="D4" s="2"/>
      <x:c r="E4" s="2"/>
      <x:c r="F4" s="2"/>
      <x:c r="G4" s="2"/>
      <x:c r="H4" s="2"/>
      <x:c r="I4" s="2"/>
      <x:c r="J4" s="2"/>
      <x:c r="K4" s="2"/>
      <x:c r="L4" s="2"/>
      <x:c r="M4" s="2"/>
      <x:c r="N4" s="2"/>
    </x:row>
    <x:row r="5" ht="20" customHeight="1">
      <x:c r="A5" s="2"/>
      <x:c r="B5" s="2"/>
      <x:c r="C5" s="16" t="str">
        <x:v>TOTAL STEADY-STATE REVENUE / NMV</x:v>
      </x:c>
      <x:c r="D5" s="17" t="str">
        <x:v>TOTAL STEADY-STATE REVENUE / NMV</x:v>
      </x:c>
      <x:c r="E5" s="17" t="str">
        <x:v>TOTAL STEADY-STATE REVENUE / NMV</x:v>
      </x:c>
      <x:c r="F5" s="17" t="str">
        <x:v>TOTAL STEADY-STATE REVENUE / NMV</x:v>
      </x:c>
      <x:c r="G5" s="17" t="str">
        <x:v>TOTAL STEADY-STATE REVENUE / NMV</x:v>
      </x:c>
      <x:c r="H5" s="18" t="str">
        <x:v>TOTAL STEADY-STATE REVENUE / NMV</x:v>
      </x:c>
      <x:c r="I5" s="2"/>
      <x:c r="J5" s="16" t="str">
        <x:v>RELOOP REVENUE (INR CR)</x:v>
      </x:c>
      <x:c r="K5" s="17" t="str">
        <x:v>RELOOP REVENUE (INR CR)</x:v>
      </x:c>
      <x:c r="L5" s="17" t="str">
        <x:v>RELOOP REVENUE (INR CR)</x:v>
      </x:c>
      <x:c r="M5" s="17" t="str">
        <x:v>RELOOP REVENUE (INR CR)</x:v>
      </x:c>
      <x:c r="N5" s="18" t="str">
        <x:v>RELOOP REVENUE (INR CR)</x:v>
      </x:c>
    </x:row>
    <x:row r="6" ht="28" customHeight="1">
      <x:c r="A6" s="2"/>
      <x:c r="B6" s="2"/>
      <x:c r="C6" s="23" t="str">
        <x:v>Source routed share / Fee</x:v>
      </x:c>
      <x:c r="D6" s="51" t="n">
        <x:v>0.025</x:v>
      </x:c>
      <x:c r="E6" s="51" t="n">
        <x:v>0.035</x:v>
      </x:c>
      <x:c r="F6" s="51" t="n">
        <x:v>0.045</x:v>
      </x:c>
      <x:c r="G6" s="51" t="n">
        <x:v>0.055</x:v>
      </x:c>
      <x:c r="H6" s="51" t="n">
        <x:v>0.065</x:v>
      </x:c>
      <x:c r="I6" s="2"/>
      <x:c r="J6" s="23" t="str">
        <x:v>Seller opt-in / Recovery price</x:v>
      </x:c>
      <x:c r="K6" s="335" t="n">
        <x:v>0.2</x:v>
      </x:c>
      <x:c r="L6" s="335" t="n">
        <x:v>0.3</x:v>
      </x:c>
      <x:c r="M6" s="335" t="n">
        <x:v>0.4</x:v>
      </x:c>
      <x:c r="N6" s="335" t="n">
        <x:v>0.5</x:v>
      </x:c>
    </x:row>
    <x:row r="7">
      <x:c r="A7" s="2"/>
      <x:c r="B7" s="2"/>
      <x:c r="C7" s="318" t="n">
        <x:v>0.15</x:v>
      </x:c>
      <x:c r="D7" s="244" t="n">
        <x:f>('Dashboard'!$D$36+'Assumptions'!$G$8*'Assumptions'!$G$30*$C7*D$6)/'Assumptions'!$G$8</x:f>
        <x:v>0.0031488125000000006</x:v>
      </x:c>
      <x:c r="E7" s="244" t="n">
        <x:f>('Dashboard'!$D$36+'Assumptions'!$G$8*'Assumptions'!$G$30*$C7*E$6)/'Assumptions'!$G$8</x:f>
        <x:v>0.003973812500000001</x:v>
      </x:c>
      <x:c r="F7" s="244" t="n">
        <x:f>('Dashboard'!$D$36+'Assumptions'!$G$8*'Assumptions'!$G$30*$C7*F$6)/'Assumptions'!$G$8</x:f>
        <x:v>0.0047988125</x:v>
      </x:c>
      <x:c r="G7" s="244" t="n">
        <x:f>('Dashboard'!$D$36+'Assumptions'!$G$8*'Assumptions'!$G$30*$C7*G$6)/'Assumptions'!$G$8</x:f>
        <x:v>0.005623812500000001</x:v>
      </x:c>
      <x:c r="H7" s="244" t="n">
        <x:f>('Dashboard'!$D$36+'Assumptions'!$G$8*'Assumptions'!$G$30*$C7*H$6)/'Assumptions'!$G$8</x:f>
        <x:v>0.0064488125000000006</x:v>
      </x:c>
      <x:c r="I7" s="2"/>
      <x:c r="J7" s="318" t="n">
        <x:v>0.2</x:v>
      </x:c>
      <x:c r="K7" s="241" t="n">
        <x:f>'Assumptions'!$G$8*'Assumptions'!$G$14*'Assumptions'!$G$13*'Assumptions'!$G$18*$J7*'Assumptions'!$G$20*K$6*'Assumptions'!$G$24+'Assumptions'!$G$8*'Assumptions'!$G$22*'Assumptions'!$G$23*'Assumptions'!$G$20*K$6*'Assumptions'!$G$24</x:f>
        <x:v>22.354085</x:v>
      </x:c>
      <x:c r="L7" s="241" t="n">
        <x:f>'Assumptions'!$G$8*'Assumptions'!$G$14*'Assumptions'!$G$13*'Assumptions'!$G$18*$J7*'Assumptions'!$G$20*L$6*'Assumptions'!$G$24+'Assumptions'!$G$8*'Assumptions'!$G$22*'Assumptions'!$G$23*'Assumptions'!$G$20*L$6*'Assumptions'!$G$24</x:f>
        <x:v>33.531127500000004</x:v>
      </x:c>
      <x:c r="M7" s="241" t="n">
        <x:f>'Assumptions'!$G$8*'Assumptions'!$G$14*'Assumptions'!$G$13*'Assumptions'!$G$18*$J7*'Assumptions'!$G$20*M$6*'Assumptions'!$G$24+'Assumptions'!$G$8*'Assumptions'!$G$22*'Assumptions'!$G$23*'Assumptions'!$G$20*M$6*'Assumptions'!$G$24</x:f>
        <x:v>44.70817</x:v>
      </x:c>
      <x:c r="N7" s="241" t="n">
        <x:f>'Assumptions'!$G$8*'Assumptions'!$G$14*'Assumptions'!$G$13*'Assumptions'!$G$18*$J7*'Assumptions'!$G$20*N$6*'Assumptions'!$G$24+'Assumptions'!$G$8*'Assumptions'!$G$22*'Assumptions'!$G$23*'Assumptions'!$G$20*N$6*'Assumptions'!$G$24</x:f>
        <x:v>55.88521250000001</x:v>
      </x:c>
    </x:row>
    <x:row r="8">
      <x:c r="A8" s="2"/>
      <x:c r="B8" s="2"/>
      <x:c r="C8" s="124" t="n">
        <x:v>0.25</x:v>
      </x:c>
      <x:c r="D8" s="126" t="n">
        <x:f>('Dashboard'!$D$36+'Assumptions'!$G$8*'Assumptions'!$G$30*$C8*D$6)/'Assumptions'!$G$8</x:f>
        <x:v>0.004523812500000001</x:v>
      </x:c>
      <x:c r="E8" s="126" t="n">
        <x:f>('Dashboard'!$D$36+'Assumptions'!$G$8*'Assumptions'!$G$30*$C8*E$6)/'Assumptions'!$G$8</x:f>
        <x:v>0.005898812500000001</x:v>
      </x:c>
      <x:c r="F8" s="126" t="n">
        <x:f>('Dashboard'!$D$36+'Assumptions'!$G$8*'Assumptions'!$G$30*$C8*F$6)/'Assumptions'!$G$8</x:f>
        <x:v>0.007273812500000001</x:v>
      </x:c>
      <x:c r="G8" s="126" t="n">
        <x:f>('Dashboard'!$D$36+'Assumptions'!$G$8*'Assumptions'!$G$30*$C8*G$6)/'Assumptions'!$G$8</x:f>
        <x:v>0.008648812500000002</x:v>
      </x:c>
      <x:c r="H8" s="126" t="n">
        <x:f>('Dashboard'!$D$36+'Assumptions'!$G$8*'Assumptions'!$G$30*$C8*H$6)/'Assumptions'!$G$8</x:f>
        <x:v>0.010023812500000001</x:v>
      </x:c>
      <x:c r="I8" s="2"/>
      <x:c r="J8" s="124" t="n">
        <x:v>0.3</x:v>
      </x:c>
      <x:c r="K8" s="242" t="n">
        <x:f>'Assumptions'!$G$8*'Assumptions'!$G$14*'Assumptions'!$G$13*'Assumptions'!$G$18*$J8*'Assumptions'!$G$20*K$6*'Assumptions'!$G$24+'Assumptions'!$G$8*'Assumptions'!$G$22*'Assumptions'!$G$23*'Assumptions'!$G$20*K$6*'Assumptions'!$G$24</x:f>
        <x:v>24.0762275</x:v>
      </x:c>
      <x:c r="L8" s="242" t="n">
        <x:f>'Assumptions'!$G$8*'Assumptions'!$G$14*'Assumptions'!$G$13*'Assumptions'!$G$18*$J8*'Assumptions'!$G$20*L$6*'Assumptions'!$G$24+'Assumptions'!$G$8*'Assumptions'!$G$22*'Assumptions'!$G$23*'Assumptions'!$G$20*L$6*'Assumptions'!$G$24</x:f>
        <x:v>36.11434125</x:v>
      </x:c>
      <x:c r="M8" s="242" t="n">
        <x:f>'Assumptions'!$G$8*'Assumptions'!$G$14*'Assumptions'!$G$13*'Assumptions'!$G$18*$J8*'Assumptions'!$G$20*M$6*'Assumptions'!$G$24+'Assumptions'!$G$8*'Assumptions'!$G$22*'Assumptions'!$G$23*'Assumptions'!$G$20*M$6*'Assumptions'!$G$24</x:f>
        <x:v>48.152455</x:v>
      </x:c>
      <x:c r="N8" s="242" t="n">
        <x:f>'Assumptions'!$G$8*'Assumptions'!$G$14*'Assumptions'!$G$13*'Assumptions'!$G$18*$J8*'Assumptions'!$G$20*N$6*'Assumptions'!$G$24+'Assumptions'!$G$8*'Assumptions'!$G$22*'Assumptions'!$G$23*'Assumptions'!$G$20*N$6*'Assumptions'!$G$24</x:f>
        <x:v>60.190568750000004</x:v>
      </x:c>
    </x:row>
    <x:row r="9">
      <x:c r="A9" s="2"/>
      <x:c r="B9" s="2"/>
      <x:c r="C9" s="124" t="n">
        <x:v>0.35</x:v>
      </x:c>
      <x:c r="D9" s="126" t="n">
        <x:f>('Dashboard'!$D$36+'Assumptions'!$G$8*'Assumptions'!$G$30*$C9*D$6)/'Assumptions'!$G$8</x:f>
        <x:v>0.005898812500000001</x:v>
      </x:c>
      <x:c r="E9" s="126" t="n">
        <x:f>('Dashboard'!$D$36+'Assumptions'!$G$8*'Assumptions'!$G$30*$C9*E$6)/'Assumptions'!$G$8</x:f>
        <x:v>0.007823812500000003</x:v>
      </x:c>
      <x:c r="F9" s="126" t="n">
        <x:f>('Dashboard'!$D$36+'Assumptions'!$G$8*'Assumptions'!$G$30*$C9*F$6)/'Assumptions'!$G$8</x:f>
        <x:v>0.0097488125</x:v>
      </x:c>
      <x:c r="G9" s="126" t="n">
        <x:f>('Dashboard'!$D$36+'Assumptions'!$G$8*'Assumptions'!$G$30*$C9*G$6)/'Assumptions'!$G$8</x:f>
        <x:v>0.011673812500000002</x:v>
      </x:c>
      <x:c r="H9" s="126" t="n">
        <x:f>('Dashboard'!$D$36+'Assumptions'!$G$8*'Assumptions'!$G$30*$C9*H$6)/'Assumptions'!$G$8</x:f>
        <x:v>0.013598812500000002</x:v>
      </x:c>
      <x:c r="I9" s="2"/>
      <x:c r="J9" s="124" t="n">
        <x:v>0.4</x:v>
      </x:c>
      <x:c r="K9" s="242" t="n">
        <x:f>'Assumptions'!$G$8*'Assumptions'!$G$14*'Assumptions'!$G$13*'Assumptions'!$G$18*$J9*'Assumptions'!$G$20*K$6*'Assumptions'!$G$24+'Assumptions'!$G$8*'Assumptions'!$G$22*'Assumptions'!$G$23*'Assumptions'!$G$20*K$6*'Assumptions'!$G$24</x:f>
        <x:v>25.798370000000002</x:v>
      </x:c>
      <x:c r="L9" s="242" t="n">
        <x:f>'Assumptions'!$G$8*'Assumptions'!$G$14*'Assumptions'!$G$13*'Assumptions'!$G$18*$J9*'Assumptions'!$G$20*L$6*'Assumptions'!$G$24+'Assumptions'!$G$8*'Assumptions'!$G$22*'Assumptions'!$G$23*'Assumptions'!$G$20*L$6*'Assumptions'!$G$24</x:f>
        <x:v>38.69755500000001</x:v>
      </x:c>
      <x:c r="M9" s="242" t="n">
        <x:f>'Assumptions'!$G$8*'Assumptions'!$G$14*'Assumptions'!$G$13*'Assumptions'!$G$18*$J9*'Assumptions'!$G$20*M$6*'Assumptions'!$G$24+'Assumptions'!$G$8*'Assumptions'!$G$22*'Assumptions'!$G$23*'Assumptions'!$G$20*M$6*'Assumptions'!$G$24</x:f>
        <x:v>51.596740000000004</x:v>
      </x:c>
      <x:c r="N9" s="242" t="n">
        <x:f>'Assumptions'!$G$8*'Assumptions'!$G$14*'Assumptions'!$G$13*'Assumptions'!$G$18*$J9*'Assumptions'!$G$20*N$6*'Assumptions'!$G$24+'Assumptions'!$G$8*'Assumptions'!$G$22*'Assumptions'!$G$23*'Assumptions'!$G$20*N$6*'Assumptions'!$G$24</x:f>
        <x:v>64.495925</x:v>
      </x:c>
    </x:row>
    <x:row r="10">
      <x:c r="A10" s="2"/>
      <x:c r="B10" s="2"/>
      <x:c r="C10" s="124" t="n">
        <x:v>0.45</x:v>
      </x:c>
      <x:c r="D10" s="126" t="n">
        <x:f>('Dashboard'!$D$36+'Assumptions'!$G$8*'Assumptions'!$G$30*$C10*D$6)/'Assumptions'!$G$8</x:f>
        <x:v>0.0072738125000000025</x:v>
      </x:c>
      <x:c r="E10" s="126" t="n">
        <x:f>('Dashboard'!$D$36+'Assumptions'!$G$8*'Assumptions'!$G$30*$C10*E$6)/'Assumptions'!$G$8</x:f>
        <x:v>0.009748812500000004</x:v>
      </x:c>
      <x:c r="F10" s="126" t="n">
        <x:f>('Dashboard'!$D$36+'Assumptions'!$G$8*'Assumptions'!$G$30*$C10*F$6)/'Assumptions'!$G$8</x:f>
        <x:v>0.012223812500000002</x:v>
      </x:c>
      <x:c r="G10" s="126" t="n">
        <x:f>('Dashboard'!$D$36+'Assumptions'!$G$8*'Assumptions'!$G$30*$C10*G$6)/'Assumptions'!$G$8</x:f>
        <x:v>0.014698812500000002</x:v>
      </x:c>
      <x:c r="H10" s="126" t="n">
        <x:f>('Dashboard'!$D$36+'Assumptions'!$G$8*'Assumptions'!$G$30*$C10*H$6)/'Assumptions'!$G$8</x:f>
        <x:v>0.017173812500000003</x:v>
      </x:c>
      <x:c r="I10" s="2"/>
      <x:c r="J10" s="124" t="n">
        <x:v>0.5</x:v>
      </x:c>
      <x:c r="K10" s="242" t="n">
        <x:f>'Assumptions'!$G$8*'Assumptions'!$G$14*'Assumptions'!$G$13*'Assumptions'!$G$18*$J10*'Assumptions'!$G$20*K$6*'Assumptions'!$G$24+'Assumptions'!$G$8*'Assumptions'!$G$22*'Assumptions'!$G$23*'Assumptions'!$G$20*K$6*'Assumptions'!$G$24</x:f>
        <x:v>27.520512500000002</x:v>
      </x:c>
      <x:c r="L10" s="242" t="n">
        <x:f>'Assumptions'!$G$8*'Assumptions'!$G$14*'Assumptions'!$G$13*'Assumptions'!$G$18*$J10*'Assumptions'!$G$20*L$6*'Assumptions'!$G$24+'Assumptions'!$G$8*'Assumptions'!$G$22*'Assumptions'!$G$23*'Assumptions'!$G$20*L$6*'Assumptions'!$G$24</x:f>
        <x:v>41.28076875000001</x:v>
      </x:c>
      <x:c r="M10" s="242" t="n">
        <x:f>'Assumptions'!$G$8*'Assumptions'!$G$14*'Assumptions'!$G$13*'Assumptions'!$G$18*$J10*'Assumptions'!$G$20*M$6*'Assumptions'!$G$24+'Assumptions'!$G$8*'Assumptions'!$G$22*'Assumptions'!$G$23*'Assumptions'!$G$20*M$6*'Assumptions'!$G$24</x:f>
        <x:v>55.041025000000005</x:v>
      </x:c>
      <x:c r="N10" s="242" t="n">
        <x:f>'Assumptions'!$G$8*'Assumptions'!$G$14*'Assumptions'!$G$13*'Assumptions'!$G$18*$J10*'Assumptions'!$G$20*N$6*'Assumptions'!$G$24+'Assumptions'!$G$8*'Assumptions'!$G$22*'Assumptions'!$G$23*'Assumptions'!$G$20*N$6*'Assumptions'!$G$24</x:f>
        <x:v>68.80128125000002</x:v>
      </x:c>
    </x:row>
    <x:row r="11">
      <x:c r="A11" s="2"/>
      <x:c r="B11" s="2"/>
      <x:c r="C11" s="125" t="n">
        <x:v>0.55</x:v>
      </x:c>
      <x:c r="D11" s="245" t="n">
        <x:f>('Dashboard'!$D$36+'Assumptions'!$G$8*'Assumptions'!$G$30*$C11*D$6)/'Assumptions'!$G$8</x:f>
        <x:v>0.008648812500000004</x:v>
      </x:c>
      <x:c r="E11" s="245" t="n">
        <x:f>('Dashboard'!$D$36+'Assumptions'!$G$8*'Assumptions'!$G$30*$C11*E$6)/'Assumptions'!$G$8</x:f>
        <x:v>0.011673812500000005</x:v>
      </x:c>
      <x:c r="F11" s="245" t="n">
        <x:f>('Dashboard'!$D$36+'Assumptions'!$G$8*'Assumptions'!$G$30*$C11*F$6)/'Assumptions'!$G$8</x:f>
        <x:v>0.014698812500000002</x:v>
      </x:c>
      <x:c r="G11" s="245" t="n">
        <x:f>('Dashboard'!$D$36+'Assumptions'!$G$8*'Assumptions'!$G$30*$C11*G$6)/'Assumptions'!$G$8</x:f>
        <x:v>0.0177238125</x:v>
      </x:c>
      <x:c r="H11" s="245" t="n">
        <x:f>('Dashboard'!$D$36+'Assumptions'!$G$8*'Assumptions'!$G$30*$C11*H$6)/'Assumptions'!$G$8</x:f>
        <x:v>0.020748812500000005</x:v>
      </x:c>
      <x:c r="I11" s="2"/>
      <x:c r="J11" s="125" t="n">
        <x:v>0.6</x:v>
      </x:c>
      <x:c r="K11" s="243" t="n">
        <x:f>'Assumptions'!$G$8*'Assumptions'!$G$14*'Assumptions'!$G$13*'Assumptions'!$G$18*$J11*'Assumptions'!$G$20*K$6*'Assumptions'!$G$24+'Assumptions'!$G$8*'Assumptions'!$G$22*'Assumptions'!$G$23*'Assumptions'!$G$20*K$6*'Assumptions'!$G$24</x:f>
        <x:v>29.242655000000003</x:v>
      </x:c>
      <x:c r="L11" s="243" t="n">
        <x:f>'Assumptions'!$G$8*'Assumptions'!$G$14*'Assumptions'!$G$13*'Assumptions'!$G$18*$J11*'Assumptions'!$G$20*L$6*'Assumptions'!$G$24+'Assumptions'!$G$8*'Assumptions'!$G$22*'Assumptions'!$G$23*'Assumptions'!$G$20*L$6*'Assumptions'!$G$24</x:f>
        <x:v>43.863982500000006</x:v>
      </x:c>
      <x:c r="M11" s="243" t="n">
        <x:f>'Assumptions'!$G$8*'Assumptions'!$G$14*'Assumptions'!$G$13*'Assumptions'!$G$18*$J11*'Assumptions'!$G$20*M$6*'Assumptions'!$G$24+'Assumptions'!$G$8*'Assumptions'!$G$22*'Assumptions'!$G$23*'Assumptions'!$G$20*M$6*'Assumptions'!$G$24</x:f>
        <x:v>58.485310000000005</x:v>
      </x:c>
      <x:c r="N11" s="243" t="n">
        <x:f>'Assumptions'!$G$8*'Assumptions'!$G$14*'Assumptions'!$G$13*'Assumptions'!$G$18*$J11*'Assumptions'!$G$20*N$6*'Assumptions'!$G$24+'Assumptions'!$G$8*'Assumptions'!$G$22*'Assumptions'!$G$23*'Assumptions'!$G$20*N$6*'Assumptions'!$G$24</x:f>
        <x:v>73.1066375</x:v>
      </x:c>
    </x:row>
    <x:row r="12">
      <x:c r="A12" s="2"/>
      <x:c r="B12" s="2"/>
      <x:c r="C12" s="2"/>
      <x:c r="D12" s="2"/>
      <x:c r="E12" s="2"/>
      <x:c r="F12" s="2"/>
      <x:c r="G12" s="2"/>
      <x:c r="H12" s="2"/>
      <x:c r="I12" s="2"/>
      <x:c r="J12" s="2"/>
      <x:c r="K12" s="2"/>
      <x:c r="L12" s="2"/>
      <x:c r="M12" s="2"/>
      <x:c r="N12" s="2"/>
    </x:row>
    <x:row r="13">
      <x:c r="A13" s="2"/>
      <x:c r="B13" s="2"/>
      <x:c r="C13" s="327" t="str">
        <x:v>How to read: at Base procurement economics, 35% of seller procurement routed through Source at a 4.5% blended fee produces approximately 0.97% of NMV after adding Base ReLoop revenue. Green cells exceed or approach the 1% benchmark.</x:v>
      </x:c>
      <x:c r="D13" s="328" t="str">
        <x:v>How to read: at Base procurement economics, 35% of seller procurement routed through Source at a 4.5% blended fee produces approximately 0.97% of NMV after adding Base ReLoop revenue. Green cells exceed or approach the 1% benchmark.</x:v>
      </x:c>
      <x:c r="E13" s="328" t="str">
        <x:v>How to read: at Base procurement economics, 35% of seller procurement routed through Source at a 4.5% blended fee produces approximately 0.97% of NMV after adding Base ReLoop revenue. Green cells exceed or approach the 1% benchmark.</x:v>
      </x:c>
      <x:c r="F13" s="328" t="str">
        <x:v>How to read: at Base procurement economics, 35% of seller procurement routed through Source at a 4.5% blended fee produces approximately 0.97% of NMV after adding Base ReLoop revenue. Green cells exceed or approach the 1% benchmark.</x:v>
      </x:c>
      <x:c r="G13" s="328" t="str">
        <x:v>How to read: at Base procurement economics, 35% of seller procurement routed through Source at a 4.5% blended fee produces approximately 0.97% of NMV after adding Base ReLoop revenue. Green cells exceed or approach the 1% benchmark.</x:v>
      </x:c>
      <x:c r="H13" s="329" t="str">
        <x:v>How to read: at Base procurement economics, 35% of seller procurement routed through Source at a 4.5% blended fee produces approximately 0.97% of NMV after adding Base ReLoop revenue. Green cells exceed or approach the 1% benchmark.</x:v>
      </x:c>
      <x:c r="I13" s="2"/>
      <x:c r="J13" s="345" t="str">
        <x:v>The ReLoop result is most sensitive to whether sellers opt in and the price recovery buyers are willing to pay. Both must be tested with transacted pilot lots, not stated willingness alone.</x:v>
      </x:c>
      <x:c r="K13" s="346" t="str">
        <x:v>The ReLoop result is most sensitive to whether sellers opt in and the price recovery buyers are willing to pay. Both must be tested with transacted pilot lots, not stated willingness alone.</x:v>
      </x:c>
      <x:c r="L13" s="346" t="str">
        <x:v>The ReLoop result is most sensitive to whether sellers opt in and the price recovery buyers are willing to pay. Both must be tested with transacted pilot lots, not stated willingness alone.</x:v>
      </x:c>
      <x:c r="M13" s="346" t="str">
        <x:v>The ReLoop result is most sensitive to whether sellers opt in and the price recovery buyers are willing to pay. Both must be tested with transacted pilot lots, not stated willingness alone.</x:v>
      </x:c>
      <x:c r="N13" s="347" t="str">
        <x:v>The ReLoop result is most sensitive to whether sellers opt in and the price recovery buyers are willing to pay. Both must be tested with transacted pilot lots, not stated willingness alone.</x:v>
      </x:c>
    </x:row>
    <x:row r="14">
      <x:c r="A14" s="2"/>
      <x:c r="B14" s="2"/>
      <x:c r="C14" s="330" t="str">
        <x:v>How to read: at Base procurement economics, 35% of seller procurement routed through Source at a 4.5% blended fee produces approximately 0.97% of NMV after adding Base ReLoop revenue. Green cells exceed or approach the 1% benchmark.</x:v>
      </x:c>
      <x:c r="D14" s="269" t="str">
        <x:v>How to read: at Base procurement economics, 35% of seller procurement routed through Source at a 4.5% blended fee produces approximately 0.97% of NMV after adding Base ReLoop revenue. Green cells exceed or approach the 1% benchmark.</x:v>
      </x:c>
      <x:c r="E14" s="269" t="str">
        <x:v>How to read: at Base procurement economics, 35% of seller procurement routed through Source at a 4.5% blended fee produces approximately 0.97% of NMV after adding Base ReLoop revenue. Green cells exceed or approach the 1% benchmark.</x:v>
      </x:c>
      <x:c r="F14" s="269" t="str">
        <x:v>How to read: at Base procurement economics, 35% of seller procurement routed through Source at a 4.5% blended fee produces approximately 0.97% of NMV after adding Base ReLoop revenue. Green cells exceed or approach the 1% benchmark.</x:v>
      </x:c>
      <x:c r="G14" s="269" t="str">
        <x:v>How to read: at Base procurement economics, 35% of seller procurement routed through Source at a 4.5% blended fee produces approximately 0.97% of NMV after adding Base ReLoop revenue. Green cells exceed or approach the 1% benchmark.</x:v>
      </x:c>
      <x:c r="H14" s="331" t="str">
        <x:v>How to read: at Base procurement economics, 35% of seller procurement routed through Source at a 4.5% blended fee produces approximately 0.97% of NMV after adding Base ReLoop revenue. Green cells exceed or approach the 1% benchmark.</x:v>
      </x:c>
      <x:c r="I14" s="2"/>
      <x:c r="J14" s="348" t="str">
        <x:v>The ReLoop result is most sensitive to whether sellers opt in and the price recovery buyers are willing to pay. Both must be tested with transacted pilot lots, not stated willingness alone.</x:v>
      </x:c>
      <x:c r="K14" s="266" t="str">
        <x:v>The ReLoop result is most sensitive to whether sellers opt in and the price recovery buyers are willing to pay. Both must be tested with transacted pilot lots, not stated willingness alone.</x:v>
      </x:c>
      <x:c r="L14" s="266" t="str">
        <x:v>The ReLoop result is most sensitive to whether sellers opt in and the price recovery buyers are willing to pay. Both must be tested with transacted pilot lots, not stated willingness alone.</x:v>
      </x:c>
      <x:c r="M14" s="266" t="str">
        <x:v>The ReLoop result is most sensitive to whether sellers opt in and the price recovery buyers are willing to pay. Both must be tested with transacted pilot lots, not stated willingness alone.</x:v>
      </x:c>
      <x:c r="N14" s="349" t="str">
        <x:v>The ReLoop result is most sensitive to whether sellers opt in and the price recovery buyers are willing to pay. Both must be tested with transacted pilot lots, not stated willingness alone.</x:v>
      </x:c>
    </x:row>
    <x:row r="15">
      <x:c r="A15" s="2"/>
      <x:c r="B15" s="2"/>
      <x:c r="C15" s="332" t="str">
        <x:v>How to read: at Base procurement economics, 35% of seller procurement routed through Source at a 4.5% blended fee produces approximately 0.97% of NMV after adding Base ReLoop revenue. Green cells exceed or approach the 1% benchmark.</x:v>
      </x:c>
      <x:c r="D15" s="333" t="str">
        <x:v>How to read: at Base procurement economics, 35% of seller procurement routed through Source at a 4.5% blended fee produces approximately 0.97% of NMV after adding Base ReLoop revenue. Green cells exceed or approach the 1% benchmark.</x:v>
      </x:c>
      <x:c r="E15" s="333" t="str">
        <x:v>How to read: at Base procurement economics, 35% of seller procurement routed through Source at a 4.5% blended fee produces approximately 0.97% of NMV after adding Base ReLoop revenue. Green cells exceed or approach the 1% benchmark.</x:v>
      </x:c>
      <x:c r="F15" s="333" t="str">
        <x:v>How to read: at Base procurement economics, 35% of seller procurement routed through Source at a 4.5% blended fee produces approximately 0.97% of NMV after adding Base ReLoop revenue. Green cells exceed or approach the 1% benchmark.</x:v>
      </x:c>
      <x:c r="G15" s="333" t="str">
        <x:v>How to read: at Base procurement economics, 35% of seller procurement routed through Source at a 4.5% blended fee produces approximately 0.97% of NMV after adding Base ReLoop revenue. Green cells exceed or approach the 1% benchmark.</x:v>
      </x:c>
      <x:c r="H15" s="334" t="str">
        <x:v>How to read: at Base procurement economics, 35% of seller procurement routed through Source at a 4.5% blended fee produces approximately 0.97% of NMV after adding Base ReLoop revenue. Green cells exceed or approach the 1% benchmark.</x:v>
      </x:c>
      <x:c r="I15" s="2"/>
      <x:c r="J15" s="350" t="str">
        <x:v>The ReLoop result is most sensitive to whether sellers opt in and the price recovery buyers are willing to pay. Both must be tested with transacted pilot lots, not stated willingness alone.</x:v>
      </x:c>
      <x:c r="K15" s="351" t="str">
        <x:v>The ReLoop result is most sensitive to whether sellers opt in and the price recovery buyers are willing to pay. Both must be tested with transacted pilot lots, not stated willingness alone.</x:v>
      </x:c>
      <x:c r="L15" s="351" t="str">
        <x:v>The ReLoop result is most sensitive to whether sellers opt in and the price recovery buyers are willing to pay. Both must be tested with transacted pilot lots, not stated willingness alone.</x:v>
      </x:c>
      <x:c r="M15" s="351" t="str">
        <x:v>The ReLoop result is most sensitive to whether sellers opt in and the price recovery buyers are willing to pay. Both must be tested with transacted pilot lots, not stated willingness alone.</x:v>
      </x:c>
      <x:c r="N15" s="352" t="str">
        <x:v>The ReLoop result is most sensitive to whether sellers opt in and the price recovery buyers are willing to pay. Both must be tested with transacted pilot lots, not stated willingness alone.</x:v>
      </x:c>
    </x:row>
    <x:row r="16">
      <x:c r="A16" s="2"/>
      <x:c r="B16" s="2"/>
      <x:c r="C16" s="2"/>
      <x:c r="D16" s="2"/>
      <x:c r="E16" s="2"/>
      <x:c r="F16" s="2"/>
      <x:c r="G16" s="2"/>
      <x:c r="H16" s="2"/>
      <x:c r="I16" s="2"/>
      <x:c r="J16" s="2"/>
      <x:c r="K16" s="2"/>
      <x:c r="L16" s="2"/>
      <x:c r="M16" s="2"/>
      <x:c r="N16" s="2"/>
    </x:row>
    <x:row r="17">
      <x:c r="A17" s="2"/>
      <x:c r="B17" s="2"/>
      <x:c r="C17" s="2"/>
      <x:c r="D17" s="2"/>
      <x:c r="E17" s="2"/>
      <x:c r="F17" s="2"/>
      <x:c r="G17" s="2"/>
      <x:c r="H17" s="2"/>
      <x:c r="I17" s="2"/>
      <x:c r="J17" s="2"/>
      <x:c r="K17" s="2"/>
      <x:c r="L17" s="2"/>
      <x:c r="M17" s="2"/>
      <x:c r="N17" s="2"/>
    </x:row>
    <x:row r="18" ht="20" customHeight="1">
      <x:c r="A18" s="2"/>
      <x:c r="B18" s="2"/>
      <x:c r="C18" s="16" t="str">
        <x:v>BASE-CASE REVENUE BRIDGE TO 1% OF NMV</x:v>
      </x:c>
      <x:c r="D18" s="17" t="str">
        <x:v>BASE-CASE REVENUE BRIDGE TO 1% OF NMV</x:v>
      </x:c>
      <x:c r="E18" s="17" t="str">
        <x:v>BASE-CASE REVENUE BRIDGE TO 1% OF NMV</x:v>
      </x:c>
      <x:c r="F18" s="17" t="str">
        <x:v>BASE-CASE REVENUE BRIDGE TO 1% OF NMV</x:v>
      </x:c>
      <x:c r="G18" s="17" t="str">
        <x:v>BASE-CASE REVENUE BRIDGE TO 1% OF NMV</x:v>
      </x:c>
      <x:c r="H18" s="17" t="str">
        <x:v>BASE-CASE REVENUE BRIDGE TO 1% OF NMV</x:v>
      </x:c>
      <x:c r="I18" s="17" t="str">
        <x:v>BASE-CASE REVENUE BRIDGE TO 1% OF NMV</x:v>
      </x:c>
      <x:c r="J18" s="17" t="str">
        <x:v>BASE-CASE REVENUE BRIDGE TO 1% OF NMV</x:v>
      </x:c>
      <x:c r="K18" s="17" t="str">
        <x:v>BASE-CASE REVENUE BRIDGE TO 1% OF NMV</x:v>
      </x:c>
      <x:c r="L18" s="17" t="str">
        <x:v>BASE-CASE REVENUE BRIDGE TO 1% OF NMV</x:v>
      </x:c>
      <x:c r="M18" s="17" t="str">
        <x:v>BASE-CASE REVENUE BRIDGE TO 1% OF NMV</x:v>
      </x:c>
      <x:c r="N18" s="18" t="str">
        <x:v>BASE-CASE REVENUE BRIDGE TO 1% OF NMV</x:v>
      </x:c>
    </x:row>
    <x:row r="19" ht="28" customHeight="1">
      <x:c r="A19" s="2"/>
      <x:c r="B19" s="2"/>
      <x:c r="C19" s="23" t="str">
        <x:v>Metric</x:v>
      </x:c>
      <x:c r="D19" s="23" t="str">
        <x:v>INR cr</x:v>
      </x:c>
      <x:c r="E19" s="23" t="str">
        <x:v>% NMV</x:v>
      </x:c>
      <x:c r="F19" s="23" t="str">
        <x:v>Test required</x:v>
      </x:c>
      <x:c r="G19" s="2"/>
      <x:c r="H19" s="2"/>
      <x:c r="I19" s="2"/>
      <x:c r="J19" s="2"/>
      <x:c r="K19" s="2"/>
      <x:c r="L19" s="2"/>
      <x:c r="M19" s="2"/>
      <x:c r="N19" s="2"/>
    </x:row>
    <x:row r="20">
      <x:c r="A20" s="2"/>
      <x:c r="B20" s="2"/>
      <x:c r="C20" s="24" t="str">
        <x:v>ReLoop steady-state revenue</x:v>
      </x:c>
      <x:c r="D20" s="114" t="n">
        <x:f>'Dashboard'!D36</x:f>
        <x:v>45.1471475</x:v>
      </x:c>
      <x:c r="E20" s="244" t="n">
        <x:f>D20/'Assumptions'!G8</x:f>
        <x:v>0.0010863125</x:v>
      </x:c>
      <x:c r="F20" s="24" t="str">
        <x:v>Sell-through, realised recovery price and dispute rate</x:v>
      </x:c>
      <x:c r="G20" s="2"/>
      <x:c r="H20" s="2"/>
      <x:c r="I20" s="2"/>
      <x:c r="J20" s="2"/>
      <x:c r="K20" s="2"/>
      <x:c r="L20" s="2"/>
      <x:c r="M20" s="2"/>
      <x:c r="N20" s="2"/>
    </x:row>
    <x:row r="21">
      <x:c r="A21" s="2"/>
      <x:c r="B21" s="2"/>
      <x:c r="C21" s="25" t="str">
        <x:v>Source steady-state revenue</x:v>
      </x:c>
      <x:c r="D21" s="115" t="n">
        <x:f>'Dashboard'!E36</x:f>
        <x:v>360.0135</x:v>
      </x:c>
      <x:c r="E21" s="126" t="n">
        <x:f>D21/'Assumptions'!G8</x:f>
        <x:v>0.0086625</x:v>
      </x:c>
      <x:c r="F21" s="25" t="str">
        <x:v>Routed procurement and fee acceptance</x:v>
      </x:c>
      <x:c r="G21" s="2"/>
      <x:c r="H21" s="2"/>
      <x:c r="I21" s="2"/>
      <x:c r="J21" s="2"/>
      <x:c r="K21" s="2"/>
      <x:c r="L21" s="2"/>
      <x:c r="M21" s="2"/>
      <x:c r="N21" s="2"/>
    </x:row>
    <x:row r="22">
      <x:c r="A22" s="2"/>
      <x:c r="B22" s="2"/>
      <x:c r="C22" s="169" t="str">
        <x:v>Total steady-state revenue</x:v>
      </x:c>
      <x:c r="D22" s="353" t="n">
        <x:f>SUM(D20:D21)</x:f>
        <x:v>405.16064750000004</x:v>
      </x:c>
      <x:c r="E22" s="247" t="n">
        <x:f>D22/'Assumptions'!G8</x:f>
        <x:v>0.0097488125</x:v>
      </x:c>
      <x:c r="F22" s="169" t="str">
        <x:v>Combined transaction volumes</x:v>
      </x:c>
      <x:c r="G22" s="2"/>
      <x:c r="H22" s="2"/>
      <x:c r="I22" s="2"/>
      <x:c r="J22" s="2"/>
      <x:c r="K22" s="2"/>
      <x:c r="L22" s="2"/>
      <x:c r="M22" s="2"/>
      <x:c r="N22" s="2"/>
    </x:row>
    <x:row r="23">
      <x:c r="A23" s="2"/>
      <x:c r="B23" s="2"/>
      <x:c r="C23" s="25" t="str">
        <x:v>1% target</x:v>
      </x:c>
      <x:c r="D23" s="115" t="n">
        <x:f>'Assumptions'!G8*'Assumptions'!G9</x:f>
        <x:v>415.6</x:v>
      </x:c>
      <x:c r="E23" s="126" t="n">
        <x:v>0.01</x:v>
      </x:c>
      <x:c r="F23" s="25" t="str">
        <x:v>Competition target</x:v>
      </x:c>
      <x:c r="G23" s="2"/>
      <x:c r="H23" s="2"/>
      <x:c r="I23" s="2"/>
      <x:c r="J23" s="2"/>
      <x:c r="K23" s="2"/>
      <x:c r="L23" s="2"/>
      <x:c r="M23" s="2"/>
      <x:c r="N23" s="2"/>
    </x:row>
    <x:row r="24">
      <x:c r="A24" s="2"/>
      <x:c r="B24" s="2"/>
      <x:c r="C24" s="354" t="str">
        <x:v>Gap / (surplus)</x:v>
      </x:c>
      <x:c r="D24" s="355" t="n">
        <x:f>D23-D22</x:f>
        <x:v>10.439352499999984</x:v>
      </x:c>
      <x:c r="E24" s="356" t="n">
        <x:f>D24/'Assumptions'!G8</x:f>
        <x:v>0.0002511874999999996</x:v>
      </x:c>
      <x:c r="F24" s="354" t="str">
        <x:v>Close through routing or pricing, not buyer price increases</x:v>
      </x:c>
      <x:c r="G24" s="2"/>
      <x:c r="H24" s="2"/>
      <x:c r="I24" s="2"/>
      <x:c r="J24" s="2"/>
      <x:c r="K24" s="2"/>
      <x:c r="L24" s="2"/>
      <x:c r="M24" s="2"/>
      <x:c r="N24" s="2"/>
    </x:row>
    <x:row r="25">
      <x:c r="A25" s="2"/>
      <x:c r="B25" s="2"/>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2"/>
      <x:c r="D28" s="2"/>
      <x:c r="E28" s="2"/>
      <x:c r="F28" s="2"/>
      <x:c r="G28" s="2"/>
      <x:c r="H28" s="2"/>
      <x:c r="I28" s="2"/>
      <x:c r="J28" s="2"/>
      <x:c r="K28" s="2"/>
      <x:c r="L28" s="2"/>
      <x:c r="M28" s="2"/>
      <x:c r="N28" s="2"/>
    </x:row>
  </x:sheetData>
  <x:mergeCells>
    <x:mergeCell ref="C2:N2"/>
    <x:mergeCell ref="C3:N3"/>
    <x:mergeCell ref="C5:H5"/>
    <x:mergeCell ref="C13:H15"/>
    <x:mergeCell ref="J5:N5"/>
    <x:mergeCell ref="J13:N15"/>
    <x:mergeCell ref="C18:N18"/>
  </x:mergeCells>
  <x:conditionalFormatting sqref="D7:H11">
    <x:cfRule type="colorScale" priority="1">
      <x:colorScale>
        <x:cfvo type="min"/>
        <x:cfvo type="percentile" val="50"/>
        <x:cfvo type="max"/>
        <x:color rgb="FFFDE2E2"/>
        <x:color rgb="FFFFF2CC"/>
        <x:color rgb="FFD9EAD3"/>
      </x:colorScale>
    </x:cfRule>
  </x:conditionalFormatting>
  <x:conditionalFormatting sqref="K7:N11">
    <x:cfRule type="colorScale" priority="2">
      <x:colorScale>
        <x:cfvo type="min"/>
        <x:cfvo type="percentile" val="50"/>
        <x:cfvo type="max"/>
        <x:color rgb="FFFFF2CC"/>
        <x:color rgb="FFFCE5CD"/>
        <x:color rgb="FFD9D2E9"/>
      </x:colorScale>
    </x:cfRule>
  </x:conditionalFormatting>
  <x:pageMargins left="0.7" right="0.7" top="0.75" bottom="0.75" header="0.3" footer="0.3"/>
</x:worksheet>
</file>

<file path=xl/worksheets/sheet6.xml><?xml version="1.0" encoding="utf-8"?>
<x:worksheet xmlns:x="http://schemas.openxmlformats.org/spreadsheetml/2006/main">
  <x:sheetPr>
    <x:tabColor rgb="FF4B5563"/>
  </x:sheetPr>
  <x:sheetViews>
    <x:sheetView showGridLines="0" workbookViewId="0">
      <x:pane ySplit="6" topLeftCell="A7" activePane="bottomLeft" state="frozen"/>
    </x:sheetView>
  </x:sheetViews>
  <x:sheetFormatPr defaultRowHeight="15"/>
  <x:cols>
    <x:col min="1" max="1" width="3" hidden="0" customWidth="1"/>
    <x:col min="2" max="2" width="3" hidden="0" customWidth="1"/>
    <x:col min="3" max="3" width="8" hidden="0" customWidth="1"/>
    <x:col min="4" max="4" width="28" hidden="0" customWidth="1"/>
    <x:col min="5" max="5" width="16" hidden="0" customWidth="1"/>
    <x:col min="6" max="6" width="13" hidden="0" customWidth="1"/>
    <x:col min="7" max="7" width="30" hidden="0" customWidth="1"/>
    <x:col min="8" max="8" width="50" hidden="0" customWidth="1"/>
    <x:col min="9" max="9" width="32" hidden="0" customWidth="1"/>
    <x:col min="10" max="10" width="20" hidden="0" customWidth="1"/>
  </x:cols>
  <x:sheetData>
    <x:row r="1">
      <x:c r="A1" s="2"/>
      <x:c r="B1" s="2"/>
      <x:c r="C1" s="2"/>
      <x:c r="D1" s="2"/>
      <x:c r="E1" s="2"/>
      <x:c r="F1" s="2"/>
      <x:c r="G1" s="2"/>
      <x:c r="H1" s="2"/>
      <x:c r="I1" s="2"/>
      <x:c r="J1" s="2"/>
    </x:row>
    <x:row r="2" ht="25" customHeight="1">
      <x:c r="A2" s="2"/>
      <x:c r="B2" s="2"/>
      <x:c r="C2" s="386" t="str">
        <x:v>Sources, definitions and model limitations</x:v>
      </x:c>
      <x:c r="D2" s="3" t="str">
        <x:v>Sources, definitions and model limitations</x:v>
      </x:c>
      <x:c r="E2" s="3" t="str">
        <x:v>Sources, definitions and model limitations</x:v>
      </x:c>
      <x:c r="F2" s="3" t="str">
        <x:v>Sources, definitions and model limitations</x:v>
      </x:c>
      <x:c r="G2" s="3" t="str">
        <x:v>Sources, definitions and model limitations</x:v>
      </x:c>
      <x:c r="H2" s="3" t="str">
        <x:v>Sources, definitions and model limitations</x:v>
      </x:c>
      <x:c r="I2" s="3" t="str">
        <x:v>Sources, definitions and model limitations</x:v>
      </x:c>
      <x:c r="J2" s="3" t="str">
        <x:v>Sources, definitions and model limitations</x:v>
      </x:c>
    </x:row>
    <x:row r="3">
      <x:c r="A3" s="2"/>
      <x:c r="B3" s="2"/>
      <x:c r="C3" s="172" t="str">
        <x:v>Public data anchors the market size and benchmark fees. Operational adoption, recovery and cost inputs remain team assumptions until validated in a pilot.</x:v>
      </x:c>
      <x:c r="D3" s="172" t="str">
        <x:v>Public data anchors the market size and benchmark fees. Operational adoption, recovery and cost inputs remain team assumptions until validated in a pilot.</x:v>
      </x:c>
      <x:c r="E3" s="172" t="str">
        <x:v>Public data anchors the market size and benchmark fees. Operational adoption, recovery and cost inputs remain team assumptions until validated in a pilot.</x:v>
      </x:c>
      <x:c r="F3" s="172" t="str">
        <x:v>Public data anchors the market size and benchmark fees. Operational adoption, recovery and cost inputs remain team assumptions until validated in a pilot.</x:v>
      </x:c>
      <x:c r="G3" s="172" t="str">
        <x:v>Public data anchors the market size and benchmark fees. Operational adoption, recovery and cost inputs remain team assumptions until validated in a pilot.</x:v>
      </x:c>
      <x:c r="H3" s="172" t="str">
        <x:v>Public data anchors the market size and benchmark fees. Operational adoption, recovery and cost inputs remain team assumptions until validated in a pilot.</x:v>
      </x:c>
      <x:c r="I3" s="172" t="str">
        <x:v>Public data anchors the market size and benchmark fees. Operational adoption, recovery and cost inputs remain team assumptions until validated in a pilot.</x:v>
      </x:c>
      <x:c r="J3" s="172" t="str">
        <x:v>Public data anchors the market size and benchmark fees. Operational adoption, recovery and cost inputs remain team assumptions until validated in a pilot.</x:v>
      </x:c>
    </x:row>
    <x:row r="4">
      <x:c r="A4" s="2"/>
      <x:c r="B4" s="2"/>
      <x:c r="C4" s="2"/>
      <x:c r="D4" s="2"/>
      <x:c r="E4" s="2"/>
      <x:c r="F4" s="2"/>
      <x:c r="G4" s="2"/>
      <x:c r="H4" s="2"/>
      <x:c r="I4" s="2"/>
      <x:c r="J4" s="2"/>
    </x:row>
    <x:row r="5" ht="20" customHeight="1">
      <x:c r="A5" s="2"/>
      <x:c r="B5" s="2"/>
      <x:c r="C5" s="16" t="str">
        <x:v>SOURCES</x:v>
      </x:c>
      <x:c r="D5" s="17" t="str">
        <x:v>SOURCES</x:v>
      </x:c>
      <x:c r="E5" s="17" t="str">
        <x:v>SOURCES</x:v>
      </x:c>
      <x:c r="F5" s="17" t="str">
        <x:v>SOURCES</x:v>
      </x:c>
      <x:c r="G5" s="17" t="str">
        <x:v>SOURCES</x:v>
      </x:c>
      <x:c r="H5" s="17" t="str">
        <x:v>SOURCES</x:v>
      </x:c>
      <x:c r="I5" s="17" t="str">
        <x:v>SOURCES</x:v>
      </x:c>
      <x:c r="J5" s="18" t="str">
        <x:v>SOURCES</x:v>
      </x:c>
    </x:row>
    <x:row r="6" ht="38" customHeight="1">
      <x:c r="A6" s="2"/>
      <x:c r="B6" s="2"/>
      <x:c r="C6" s="23" t="str">
        <x:v>ID</x:v>
      </x:c>
      <x:c r="D6" s="23" t="str">
        <x:v>Input supported</x:v>
      </x:c>
      <x:c r="E6" s="23" t="str">
        <x:v>Value</x:v>
      </x:c>
      <x:c r="F6" s="23" t="str">
        <x:v>Period</x:v>
      </x:c>
      <x:c r="G6" s="23" t="str">
        <x:v>Source</x:v>
      </x:c>
      <x:c r="H6" s="23" t="str">
        <x:v>URL / document</x:v>
      </x:c>
      <x:c r="I6" s="23" t="str">
        <x:v>Use in model</x:v>
      </x:c>
      <x:c r="J6" s="23" t="str">
        <x:v>Treatment</x:v>
      </x:c>
    </x:row>
    <x:row r="7" ht="38" customHeight="1">
      <x:c r="A7" s="2"/>
      <x:c r="B7" s="2"/>
      <x:c r="C7" s="90" t="str">
        <x:v>S1</x:v>
      </x:c>
      <x:c r="D7" s="90" t="str">
        <x:v>Marketplace NMV</x:v>
      </x:c>
      <x:c r="E7" s="366" t="n">
        <x:v>41560</x:v>
      </x:c>
      <x:c r="F7" s="90" t="str">
        <x:v>FY26</x:v>
      </x:c>
      <x:c r="G7" s="90" t="str">
        <x:v>Meesho Q4 FY26 shareholder letter</x:v>
      </x:c>
      <x:c r="H7" s="90" t="str">
        <x:v>https://nsearchives.nseindia.com/corporate/MEESHO_06052026171413_IntimationShareholdersresult0605.pdf</x:v>
      </x:c>
      <x:c r="I7" s="90" t="str">
        <x:v>Reference NMV and 1% target</x:v>
      </x:c>
      <x:c r="J7" s="90" t="str">
        <x:v>Public actual</x:v>
      </x:c>
    </x:row>
    <x:row r="8" ht="38" customHeight="1">
      <x:c r="A8" s="2"/>
      <x:c r="B8" s="2"/>
      <x:c r="C8" s="91" t="str">
        <x:v>S1</x:v>
      </x:c>
      <x:c r="D8" s="91" t="str">
        <x:v>Annual transacting sellers</x:v>
      </x:c>
      <x:c r="E8" s="367" t="n">
        <x:v>961000</x:v>
      </x:c>
      <x:c r="F8" s="91" t="str">
        <x:v>FY26</x:v>
      </x:c>
      <x:c r="G8" s="91" t="str">
        <x:v>Meesho Q4 FY26 shareholder letter</x:v>
      </x:c>
      <x:c r="H8" s="91" t="str">
        <x:v>https://nsearchives.nseindia.com/corporate/MEESHO_06052026171413_IntimationShareholdersresult0605.pdf</x:v>
      </x:c>
      <x:c r="I8" s="91" t="str">
        <x:v>Context only; not used to force adoption</x:v>
      </x:c>
      <x:c r="J8" s="91" t="str">
        <x:v>Public actual</x:v>
      </x:c>
    </x:row>
    <x:row r="9" ht="38" customHeight="1">
      <x:c r="A9" s="2"/>
      <x:c r="B9" s="2"/>
      <x:c r="C9" s="91" t="str">
        <x:v>S2</x:v>
      </x:c>
      <x:c r="D9" s="91" t="str">
        <x:v>Target new annual revenue</x:v>
      </x:c>
      <x:c r="E9" s="368" t="n">
        <x:v>0.01</x:v>
      </x:c>
      <x:c r="F9" s="91" t="str">
        <x:v>2026 case</x:v>
      </x:c>
      <x:c r="G9" s="91" t="str">
        <x:v>DICE Challenge S3 Monetisation case</x:v>
      </x:c>
      <x:c r="H9" s="91" t="str">
        <x:v>Competition-provided case brief</x:v>
      </x:c>
      <x:c r="I9" s="91" t="str">
        <x:v>Revenue target</x:v>
      </x:c>
      <x:c r="J9" s="91" t="str">
        <x:v>Case requirement</x:v>
      </x:c>
    </x:row>
    <x:row r="10" ht="38" customHeight="1">
      <x:c r="A10" s="2"/>
      <x:c r="B10" s="2"/>
      <x:c r="C10" s="91" t="str">
        <x:v>S3</x:v>
      </x:c>
      <x:c r="D10" s="91" t="str">
        <x:v>COD share / COD RTO / prepaid RTO</x:v>
      </x:c>
      <x:c r="E10" s="364" t="str">
        <x:v>80% / 20% / 5%</x:v>
      </x:c>
      <x:c r="F10" s="91" t="str">
        <x:v>2026 case</x:v>
      </x:c>
      <x:c r="G10" s="91" t="str">
        <x:v>DICE Challenge S3 Valmo data pack</x:v>
      </x:c>
      <x:c r="H10" s="91" t="str">
        <x:v>Competition-provided case brief</x:v>
      </x:c>
      <x:c r="I10" s="91" t="str">
        <x:v>Weighted RTO rate = 17%</x:v>
      </x:c>
      <x:c r="J10" s="91" t="str">
        <x:v>Illustrative case data</x:v>
      </x:c>
    </x:row>
    <x:row r="11" ht="38" customHeight="1">
      <x:c r="A11" s="2"/>
      <x:c r="B11" s="2"/>
      <x:c r="C11" s="91" t="str">
        <x:v>S4</x:v>
      </x:c>
      <x:c r="D11" s="91" t="str">
        <x:v>Recovery buyer premium</x:v>
      </x:c>
      <x:c r="E11" s="368" t="n">
        <x:v>0.1</x:v>
      </x:c>
      <x:c r="F11" s="91" t="str">
        <x:v>Current</x:v>
      </x:c>
      <x:c r="G11" s="91" t="str">
        <x:v>B-Stock Supply</x:v>
      </x:c>
      <x:c r="H11" s="91" t="str">
        <x:v>https://bstock.com/supplystore/seller_agreement/</x:v>
      </x:c>
      <x:c r="I11" s="91" t="str">
        <x:v>Benchmarks 10-15% ReLoop premium</x:v>
      </x:c>
      <x:c r="J11" s="91" t="str">
        <x:v>External benchmark</x:v>
      </x:c>
    </x:row>
    <x:row r="12" ht="38" customHeight="1">
      <x:c r="A12" s="2"/>
      <x:c r="B12" s="2"/>
      <x:c r="C12" s="91" t="str">
        <x:v>S5</x:v>
      </x:c>
      <x:c r="D12" s="91" t="str">
        <x:v>Supplier marketplace fee</x:v>
      </x:c>
      <x:c r="E12" s="368" t="n">
        <x:v>0.15</x:v>
      </x:c>
      <x:c r="F12" s="91" t="str">
        <x:v>Current</x:v>
      </x:c>
      <x:c r="G12" s="91" t="str">
        <x:v>Faire marketplace pricing</x:v>
      </x:c>
      <x:c r="H12" s="91" t="str">
        <x:v>https://www.faire.com/support/articles/360015893392?section=1</x:v>
      </x:c>
      <x:c r="I12" s="91" t="str">
        <x:v>Supports lower 2.5-5% supplier-funded Source fee</x:v>
      </x:c>
      <x:c r="J12" s="91" t="str">
        <x:v>External benchmark</x:v>
      </x:c>
    </x:row>
    <x:row r="13" ht="38" customHeight="1">
      <x:c r="A13" s="2"/>
      <x:c r="B13" s="2"/>
      <x:c r="C13" s="91" t="str">
        <x:v>S6</x:v>
      </x:c>
      <x:c r="D13" s="91" t="str">
        <x:v>Registered Kirana Club retailers</x:v>
      </x:c>
      <x:c r="E13" s="367" t="n">
        <x:v>4100000</x:v>
      </x:c>
      <x:c r="F13" s="91" t="str">
        <x:v>Jun-26</x:v>
      </x:c>
      <x:c r="G13" s="91" t="str">
        <x:v>Meesho acquisition announcement</x:v>
      </x:c>
      <x:c r="H13" s="91" t="str">
        <x:v>https://static-assets.meesho.com/investor-relations/1781263303291/AnnouncementunderRegulation30LODR-PressReleaseMediaRelease.pdf</x:v>
      </x:c>
      <x:c r="I13" s="91" t="str">
        <x:v>Recruitment pool only; not assumed liquidity</x:v>
      </x:c>
      <x:c r="J13" s="91" t="str">
        <x:v>Public actual</x:v>
      </x:c>
    </x:row>
    <x:row r="14" ht="38" customHeight="1">
      <x:c r="A14" s="2"/>
      <x:c r="B14" s="2"/>
      <x:c r="C14" s="92" t="str">
        <x:v>S7</x:v>
      </x:c>
      <x:c r="D14" s="92" t="str">
        <x:v>Model structure and scenario analysis</x:v>
      </x:c>
      <x:c r="E14" s="365" t="str">
        <x:v>n.a.</x:v>
      </x:c>
      <x:c r="F14" s="92" t="str">
        <x:v>Current</x:v>
      </x:c>
      <x:c r="G14" s="92" t="str">
        <x:v>CFA Institute Financial Modeling</x:v>
      </x:c>
      <x:c r="H14" s="92" t="str">
        <x:v>https://www.cfainstitute.org/programs/cfa-program/candidate-resources/practical-skills-modules/financial-modeling</x:v>
      </x:c>
      <x:c r="I14" s="92" t="str">
        <x:v>Assumptions separated from calculations and outputs</x:v>
      </x:c>
      <x:c r="J14" s="92" t="str">
        <x:v>Method reference</x:v>
      </x:c>
    </x:row>
    <x:row r="15">
      <x:c r="A15" s="2"/>
      <x:c r="B15" s="2"/>
      <x:c r="C15" s="2"/>
      <x:c r="D15" s="2"/>
      <x:c r="E15" s="2"/>
      <x:c r="F15" s="2"/>
      <x:c r="G15" s="2"/>
      <x:c r="H15" s="2"/>
      <x:c r="I15" s="2"/>
      <x:c r="J15" s="2"/>
    </x:row>
    <x:row r="16">
      <x:c r="A16" s="2"/>
      <x:c r="B16" s="2"/>
      <x:c r="C16" s="2"/>
      <x:c r="D16" s="2"/>
      <x:c r="E16" s="2"/>
      <x:c r="F16" s="2"/>
      <x:c r="G16" s="2"/>
      <x:c r="H16" s="2"/>
      <x:c r="I16" s="2"/>
      <x:c r="J16" s="2"/>
    </x:row>
    <x:row r="17" ht="20" customHeight="1">
      <x:c r="A17" s="2"/>
      <x:c r="B17" s="2"/>
      <x:c r="C17" s="16" t="str">
        <x:v>KEY DEFINITIONS AND LIMITATIONS</x:v>
      </x:c>
      <x:c r="D17" s="17" t="str">
        <x:v>KEY DEFINITIONS AND LIMITATIONS</x:v>
      </x:c>
      <x:c r="E17" s="17" t="str">
        <x:v>KEY DEFINITIONS AND LIMITATIONS</x:v>
      </x:c>
      <x:c r="F17" s="17" t="str">
        <x:v>KEY DEFINITIONS AND LIMITATIONS</x:v>
      </x:c>
      <x:c r="G17" s="17" t="str">
        <x:v>KEY DEFINITIONS AND LIMITATIONS</x:v>
      </x:c>
      <x:c r="H17" s="17" t="str">
        <x:v>KEY DEFINITIONS AND LIMITATIONS</x:v>
      </x:c>
      <x:c r="I17" s="17" t="str">
        <x:v>KEY DEFINITIONS AND LIMITATIONS</x:v>
      </x:c>
      <x:c r="J17" s="18" t="str">
        <x:v>KEY DEFINITIONS AND LIMITATIONS</x:v>
      </x:c>
    </x:row>
    <x:row r="18" ht="32" customHeight="1">
      <x:c r="A18" s="2"/>
      <x:c r="B18" s="2"/>
      <x:c r="C18" s="377" t="str">
        <x:v>NMV means Net Merchandise Value. The model uses FY26 Marketplace NMV as a constant reference basis; it does not forecast Meesho's corporate financial statements.</x:v>
      </x:c>
      <x:c r="D18" s="378" t="str">
        <x:v>NMV means Net Merchandise Value. The model uses FY26 Marketplace NMV as a constant reference basis; it does not forecast Meesho's corporate financial statements.</x:v>
      </x:c>
      <x:c r="E18" s="378" t="str">
        <x:v>NMV means Net Merchandise Value. The model uses FY26 Marketplace NMV as a constant reference basis; it does not forecast Meesho's corporate financial statements.</x:v>
      </x:c>
      <x:c r="F18" s="378" t="str">
        <x:v>NMV means Net Merchandise Value. The model uses FY26 Marketplace NMV as a constant reference basis; it does not forecast Meesho's corporate financial statements.</x:v>
      </x:c>
      <x:c r="G18" s="378" t="str">
        <x:v>NMV means Net Merchandise Value. The model uses FY26 Marketplace NMV as a constant reference basis; it does not forecast Meesho's corporate financial statements.</x:v>
      </x:c>
      <x:c r="H18" s="378" t="str">
        <x:v>NMV means Net Merchandise Value. The model uses FY26 Marketplace NMV as a constant reference basis; it does not forecast Meesho's corporate financial statements.</x:v>
      </x:c>
      <x:c r="I18" s="378" t="str">
        <x:v>NMV means Net Merchandise Value. The model uses FY26 Marketplace NMV as a constant reference basis; it does not forecast Meesho's corporate financial statements.</x:v>
      </x:c>
      <x:c r="J18" s="379" t="str">
        <x:v>NMV means Net Merchandise Value. The model uses FY26 Marketplace NMV as a constant reference basis; it does not forecast Meesho's corporate financial statements.</x:v>
      </x:c>
    </x:row>
    <x:row r="19" ht="32" customHeight="1">
      <x:c r="A19" s="2"/>
      <x:c r="B19" s="2"/>
      <x:c r="C19" s="380" t="str">
        <x:v>Year 1 revenue includes adoption ramps and a month-7 Source launch. Steady state is the annual run-rate at 100% of the selected adoption assumptions.</x:v>
      </x:c>
      <x:c r="D19" s="381" t="str">
        <x:v>Year 1 revenue includes adoption ramps and a month-7 Source launch. Steady state is the annual run-rate at 100% of the selected adoption assumptions.</x:v>
      </x:c>
      <x:c r="E19" s="381" t="str">
        <x:v>Year 1 revenue includes adoption ramps and a month-7 Source launch. Steady state is the annual run-rate at 100% of the selected adoption assumptions.</x:v>
      </x:c>
      <x:c r="F19" s="381" t="str">
        <x:v>Year 1 revenue includes adoption ramps and a month-7 Source launch. Steady state is the annual run-rate at 100% of the selected adoption assumptions.</x:v>
      </x:c>
      <x:c r="G19" s="381" t="str">
        <x:v>Year 1 revenue includes adoption ramps and a month-7 Source launch. Steady state is the annual run-rate at 100% of the selected adoption assumptions.</x:v>
      </x:c>
      <x:c r="H19" s="381" t="str">
        <x:v>Year 1 revenue includes adoption ramps and a month-7 Source launch. Steady state is the annual run-rate at 100% of the selected adoption assumptions.</x:v>
      </x:c>
      <x:c r="I19" s="381" t="str">
        <x:v>Year 1 revenue includes adoption ramps and a month-7 Source launch. Steady state is the annual run-rate at 100% of the selected adoption assumptions.</x:v>
      </x:c>
      <x:c r="J19" s="382" t="str">
        <x:v>Year 1 revenue includes adoption ramps and a month-7 Source launch. Steady state is the annual run-rate at 100% of the selected adoption assumptions.</x:v>
      </x:c>
    </x:row>
    <x:row r="20" ht="32" customHeight="1">
      <x:c r="A20" s="2"/>
      <x:c r="B20" s="2"/>
      <x:c r="C20" s="380" t="str">
        <x:v>ReLoop revenue is calculated on the recovery winning-bid GMV, not on the original consumer retail value. The seller receives the full accepted winning bid.</x:v>
      </x:c>
      <x:c r="D20" s="381" t="str">
        <x:v>ReLoop revenue is calculated on the recovery winning-bid GMV, not on the original consumer retail value. The seller receives the full accepted winning bid.</x:v>
      </x:c>
      <x:c r="E20" s="381" t="str">
        <x:v>ReLoop revenue is calculated on the recovery winning-bid GMV, not on the original consumer retail value. The seller receives the full accepted winning bid.</x:v>
      </x:c>
      <x:c r="F20" s="381" t="str">
        <x:v>ReLoop revenue is calculated on the recovery winning-bid GMV, not on the original consumer retail value. The seller receives the full accepted winning bid.</x:v>
      </x:c>
      <x:c r="G20" s="381" t="str">
        <x:v>ReLoop revenue is calculated on the recovery winning-bid GMV, not on the original consumer retail value. The seller receives the full accepted winning bid.</x:v>
      </x:c>
      <x:c r="H20" s="381" t="str">
        <x:v>ReLoop revenue is calculated on the recovery winning-bid GMV, not on the original consumer retail value. The seller receives the full accepted winning bid.</x:v>
      </x:c>
      <x:c r="I20" s="381" t="str">
        <x:v>ReLoop revenue is calculated on the recovery winning-bid GMV, not on the original consumer retail value. The seller receives the full accepted winning bid.</x:v>
      </x:c>
      <x:c r="J20" s="382" t="str">
        <x:v>ReLoop revenue is calculated on the recovery winning-bid GMV, not on the original consumer retail value. The seller receives the full accepted winning bid.</x:v>
      </x:c>
    </x:row>
    <x:row r="21" ht="32" customHeight="1">
      <x:c r="A21" s="2"/>
      <x:c r="B21" s="2"/>
      <x:c r="C21" s="380" t="str">
        <x:v>Source revenue excludes logistics, ads, credit and payment float. The blended fee is funded by wholesalers / manufacturers and capped seller savings-share economics.</x:v>
      </x:c>
      <x:c r="D21" s="381" t="str">
        <x:v>Source revenue excludes logistics, ads, credit and payment float. The blended fee is funded by wholesalers / manufacturers and capped seller savings-share economics.</x:v>
      </x:c>
      <x:c r="E21" s="381" t="str">
        <x:v>Source revenue excludes logistics, ads, credit and payment float. The blended fee is funded by wholesalers / manufacturers and capped seller savings-share economics.</x:v>
      </x:c>
      <x:c r="F21" s="381" t="str">
        <x:v>Source revenue excludes logistics, ads, credit and payment float. The blended fee is funded by wholesalers / manufacturers and capped seller savings-share economics.</x:v>
      </x:c>
      <x:c r="G21" s="381" t="str">
        <x:v>Source revenue excludes logistics, ads, credit and payment float. The blended fee is funded by wholesalers / manufacturers and capped seller savings-share economics.</x:v>
      </x:c>
      <x:c r="H21" s="381" t="str">
        <x:v>Source revenue excludes logistics, ads, credit and payment float. The blended fee is funded by wholesalers / manufacturers and capped seller savings-share economics.</x:v>
      </x:c>
      <x:c r="I21" s="381" t="str">
        <x:v>Source revenue excludes logistics, ads, credit and payment float. The blended fee is funded by wholesalers / manufacturers and capped seller savings-share economics.</x:v>
      </x:c>
      <x:c r="J21" s="382" t="str">
        <x:v>Source revenue excludes logistics, ads, credit and payment float. The blended fee is funded by wholesalers / manufacturers and capped seller savings-share economics.</x:v>
      </x:c>
    </x:row>
    <x:row r="22" ht="32" customHeight="1">
      <x:c r="A22" s="2"/>
      <x:c r="B22" s="2"/>
      <x:c r="C22" s="380" t="str">
        <x:v>No public Meesho data discloses damaged-RTO eligibility, seller opt-in, ageing inventory, recovery price, routed procurement or direct costs. These cells are explicit scenario assumptions.</x:v>
      </x:c>
      <x:c r="D22" s="381" t="str">
        <x:v>No public Meesho data discloses damaged-RTO eligibility, seller opt-in, ageing inventory, recovery price, routed procurement or direct costs. These cells are explicit scenario assumptions.</x:v>
      </x:c>
      <x:c r="E22" s="381" t="str">
        <x:v>No public Meesho data discloses damaged-RTO eligibility, seller opt-in, ageing inventory, recovery price, routed procurement or direct costs. These cells are explicit scenario assumptions.</x:v>
      </x:c>
      <x:c r="F22" s="381" t="str">
        <x:v>No public Meesho data discloses damaged-RTO eligibility, seller opt-in, ageing inventory, recovery price, routed procurement or direct costs. These cells are explicit scenario assumptions.</x:v>
      </x:c>
      <x:c r="G22" s="381" t="str">
        <x:v>No public Meesho data discloses damaged-RTO eligibility, seller opt-in, ageing inventory, recovery price, routed procurement or direct costs. These cells are explicit scenario assumptions.</x:v>
      </x:c>
      <x:c r="H22" s="381" t="str">
        <x:v>No public Meesho data discloses damaged-RTO eligibility, seller opt-in, ageing inventory, recovery price, routed procurement or direct costs. These cells are explicit scenario assumptions.</x:v>
      </x:c>
      <x:c r="I22" s="381" t="str">
        <x:v>No public Meesho data discloses damaged-RTO eligibility, seller opt-in, ageing inventory, recovery price, routed procurement or direct costs. These cells are explicit scenario assumptions.</x:v>
      </x:c>
      <x:c r="J22" s="382" t="str">
        <x:v>No public Meesho data discloses damaged-RTO eligibility, seller opt-in, ageing inventory, recovery price, routed procurement or direct costs. These cells are explicit scenario assumptions.</x:v>
      </x:c>
    </x:row>
    <x:row r="23" ht="32" customHeight="1">
      <x:c r="A23" s="2"/>
      <x:c r="B23" s="2"/>
      <x:c r="C23" s="383" t="str">
        <x:v>A pilot should replace assumptions with observed bid depth, grade variance, realised recovery price, 14-day sell-through, repeat buying, RFQ quote depth and fee acceptance.</x:v>
      </x:c>
      <x:c r="D23" s="384" t="str">
        <x:v>A pilot should replace assumptions with observed bid depth, grade variance, realised recovery price, 14-day sell-through, repeat buying, RFQ quote depth and fee acceptance.</x:v>
      </x:c>
      <x:c r="E23" s="384" t="str">
        <x:v>A pilot should replace assumptions with observed bid depth, grade variance, realised recovery price, 14-day sell-through, repeat buying, RFQ quote depth and fee acceptance.</x:v>
      </x:c>
      <x:c r="F23" s="384" t="str">
        <x:v>A pilot should replace assumptions with observed bid depth, grade variance, realised recovery price, 14-day sell-through, repeat buying, RFQ quote depth and fee acceptance.</x:v>
      </x:c>
      <x:c r="G23" s="384" t="str">
        <x:v>A pilot should replace assumptions with observed bid depth, grade variance, realised recovery price, 14-day sell-through, repeat buying, RFQ quote depth and fee acceptance.</x:v>
      </x:c>
      <x:c r="H23" s="384" t="str">
        <x:v>A pilot should replace assumptions with observed bid depth, grade variance, realised recovery price, 14-day sell-through, repeat buying, RFQ quote depth and fee acceptance.</x:v>
      </x:c>
      <x:c r="I23" s="384" t="str">
        <x:v>A pilot should replace assumptions with observed bid depth, grade variance, realised recovery price, 14-day sell-through, repeat buying, RFQ quote depth and fee acceptance.</x:v>
      </x:c>
      <x:c r="J23" s="385" t="str">
        <x:v>A pilot should replace assumptions with observed bid depth, grade variance, realised recovery price, 14-day sell-through, repeat buying, RFQ quote depth and fee acceptance.</x:v>
      </x:c>
    </x:row>
    <x:row r="24">
      <x:c r="A24" s="2"/>
      <x:c r="B24" s="2"/>
      <x:c r="C24" s="2"/>
      <x:c r="D24" s="2"/>
      <x:c r="E24" s="2"/>
      <x:c r="F24" s="2"/>
      <x:c r="G24" s="2"/>
      <x:c r="H24" s="2"/>
      <x:c r="I24" s="2"/>
      <x:c r="J24" s="2"/>
    </x:row>
    <x:row r="25">
      <x:c r="A25" s="2"/>
      <x:c r="B25" s="2"/>
      <x:c r="C25" s="2"/>
      <x:c r="D25" s="2"/>
      <x:c r="E25" s="2"/>
      <x:c r="F25" s="2"/>
      <x:c r="G25" s="2"/>
      <x:c r="H25" s="2"/>
      <x:c r="I25" s="2"/>
      <x:c r="J25" s="2"/>
    </x:row>
    <x:row r="26">
      <x:c r="A26" s="2"/>
      <x:c r="B26" s="2"/>
      <x:c r="C26" s="2"/>
      <x:c r="D26" s="2"/>
      <x:c r="E26" s="2"/>
      <x:c r="F26" s="2"/>
      <x:c r="G26" s="2"/>
      <x:c r="H26" s="2"/>
      <x:c r="I26" s="2"/>
      <x:c r="J26" s="2"/>
    </x:row>
  </x:sheetData>
  <x:mergeCells>
    <x:mergeCell ref="C2:J2"/>
    <x:mergeCell ref="C3:J3"/>
    <x:mergeCell ref="C5:J5"/>
    <x:mergeCell ref="C17:J17"/>
    <x:mergeCell ref="C18:J18"/>
    <x:mergeCell ref="C19:J19"/>
    <x:mergeCell ref="C20:J20"/>
    <x:mergeCell ref="C21:J21"/>
    <x:mergeCell ref="C22:J22"/>
    <x:mergeCell ref="C23:J23"/>
  </x:mergeCells>
  <x:pageMargins left="0.7" right="0.7" top="0.75" bottom="0.75" header="0.3" footer="0.3"/>
</x:worksheet>
</file>